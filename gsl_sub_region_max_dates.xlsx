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viland Family\Downloads\"/>
    </mc:Choice>
  </mc:AlternateContent>
  <xr:revisionPtr revIDLastSave="0" documentId="13_ncr:1_{B6558058-DCCF-4BF9-890B-8B24136CD15C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definedNames>
    <definedName name="_xlnm._FilterDatabase" localSheetId="0" hidden="1">Sheet1!$A$1:$W$996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9" i="1" l="1"/>
  <c r="S109" i="1" s="1"/>
  <c r="Q108" i="1"/>
  <c r="S108" i="1" s="1"/>
  <c r="Q107" i="1"/>
  <c r="V107" i="1" s="1"/>
  <c r="Q106" i="1"/>
  <c r="S106" i="1" s="1"/>
  <c r="Q105" i="1"/>
  <c r="S105" i="1" s="1"/>
  <c r="Q104" i="1"/>
  <c r="S104" i="1" s="1"/>
  <c r="V103" i="1"/>
  <c r="S103" i="1"/>
  <c r="Q103" i="1"/>
  <c r="Q102" i="1"/>
  <c r="S102" i="1" s="1"/>
  <c r="Q101" i="1"/>
  <c r="S101" i="1" s="1"/>
  <c r="S100" i="1"/>
  <c r="Q100" i="1"/>
  <c r="V99" i="1"/>
  <c r="S99" i="1"/>
  <c r="Q99" i="1"/>
  <c r="Q98" i="1"/>
  <c r="S98" i="1" s="1"/>
  <c r="Q97" i="1"/>
  <c r="S97" i="1" s="1"/>
  <c r="S96" i="1"/>
  <c r="Q96" i="1"/>
  <c r="V95" i="1"/>
  <c r="S95" i="1"/>
  <c r="Q95" i="1"/>
  <c r="Q94" i="1"/>
  <c r="S94" i="1" s="1"/>
  <c r="Q93" i="1"/>
  <c r="S93" i="1" s="1"/>
  <c r="S92" i="1"/>
  <c r="Q92" i="1"/>
  <c r="V91" i="1"/>
  <c r="S91" i="1"/>
  <c r="Q91" i="1"/>
  <c r="Q90" i="1"/>
  <c r="S90" i="1" s="1"/>
  <c r="Q89" i="1"/>
  <c r="S89" i="1" s="1"/>
  <c r="S88" i="1"/>
  <c r="Q88" i="1"/>
  <c r="V87" i="1"/>
  <c r="S87" i="1"/>
  <c r="Q87" i="1"/>
  <c r="Q86" i="1"/>
  <c r="S86" i="1" s="1"/>
  <c r="Q85" i="1"/>
  <c r="S85" i="1" s="1"/>
  <c r="S84" i="1"/>
  <c r="Q84" i="1"/>
  <c r="V83" i="1"/>
  <c r="S83" i="1"/>
  <c r="Q83" i="1"/>
  <c r="Q82" i="1"/>
  <c r="S82" i="1" s="1"/>
  <c r="Q81" i="1"/>
  <c r="S81" i="1" s="1"/>
  <c r="S80" i="1"/>
  <c r="Q80" i="1"/>
  <c r="S79" i="1"/>
  <c r="Q79" i="1"/>
  <c r="Q78" i="1"/>
  <c r="S78" i="1" s="1"/>
  <c r="Q77" i="1"/>
  <c r="S77" i="1" s="1"/>
  <c r="S76" i="1"/>
  <c r="Q76" i="1"/>
  <c r="S75" i="1"/>
  <c r="Q75" i="1"/>
  <c r="Q74" i="1"/>
  <c r="S74" i="1" s="1"/>
  <c r="Q73" i="1"/>
  <c r="S73" i="1" s="1"/>
  <c r="S72" i="1"/>
  <c r="Q72" i="1"/>
  <c r="S71" i="1"/>
  <c r="Q71" i="1"/>
  <c r="Q70" i="1"/>
  <c r="S70" i="1" s="1"/>
  <c r="Q69" i="1"/>
  <c r="S69" i="1" s="1"/>
  <c r="S68" i="1"/>
  <c r="Q68" i="1"/>
  <c r="S67" i="1"/>
  <c r="Q67" i="1"/>
  <c r="Q66" i="1"/>
  <c r="S66" i="1" s="1"/>
  <c r="Q65" i="1"/>
  <c r="S65" i="1" s="1"/>
  <c r="S64" i="1"/>
  <c r="Q64" i="1"/>
  <c r="S63" i="1"/>
  <c r="Q63" i="1"/>
  <c r="Q62" i="1"/>
  <c r="S62" i="1" s="1"/>
  <c r="Q61" i="1"/>
  <c r="S61" i="1" s="1"/>
  <c r="S60" i="1"/>
  <c r="Q60" i="1"/>
  <c r="S59" i="1"/>
  <c r="Q59" i="1"/>
  <c r="Q58" i="1"/>
  <c r="S58" i="1" s="1"/>
  <c r="Q57" i="1"/>
  <c r="S57" i="1" s="1"/>
  <c r="S56" i="1"/>
  <c r="Q56" i="1"/>
  <c r="S55" i="1"/>
  <c r="Q55" i="1"/>
  <c r="Q54" i="1"/>
  <c r="S54" i="1" s="1"/>
  <c r="Q53" i="1"/>
  <c r="S53" i="1" s="1"/>
  <c r="S52" i="1"/>
  <c r="Q52" i="1"/>
  <c r="S51" i="1"/>
  <c r="Q51" i="1"/>
  <c r="Q50" i="1"/>
  <c r="S50" i="1" s="1"/>
  <c r="Q49" i="1"/>
  <c r="S49" i="1" s="1"/>
  <c r="S48" i="1"/>
  <c r="Q48" i="1"/>
  <c r="S47" i="1"/>
  <c r="Q47" i="1"/>
  <c r="Q46" i="1"/>
  <c r="S46" i="1" s="1"/>
  <c r="Q45" i="1"/>
  <c r="S45" i="1" s="1"/>
  <c r="S44" i="1"/>
  <c r="Q44" i="1"/>
  <c r="S43" i="1"/>
  <c r="Q43" i="1"/>
  <c r="Q42" i="1"/>
  <c r="S42" i="1" s="1"/>
  <c r="Q41" i="1"/>
  <c r="S41" i="1" s="1"/>
  <c r="S40" i="1"/>
  <c r="Q40" i="1"/>
  <c r="S39" i="1"/>
  <c r="Q39" i="1"/>
  <c r="Q38" i="1"/>
  <c r="S38" i="1" s="1"/>
  <c r="Q37" i="1"/>
  <c r="S37" i="1" s="1"/>
  <c r="Q36" i="1"/>
  <c r="S36" i="1" s="1"/>
  <c r="S35" i="1"/>
  <c r="Q35" i="1"/>
  <c r="Q34" i="1"/>
  <c r="S34" i="1" s="1"/>
  <c r="Q33" i="1"/>
  <c r="S33" i="1" s="1"/>
  <c r="S32" i="1"/>
  <c r="Q32" i="1"/>
  <c r="Q31" i="1"/>
  <c r="V31" i="1" s="1"/>
  <c r="Q30" i="1"/>
  <c r="S30" i="1" s="1"/>
  <c r="Q29" i="1"/>
  <c r="S29" i="1" s="1"/>
  <c r="Q28" i="1"/>
  <c r="S28" i="1" s="1"/>
  <c r="S27" i="1"/>
  <c r="Q27" i="1"/>
  <c r="Q26" i="1"/>
  <c r="S26" i="1" s="1"/>
  <c r="Q25" i="1"/>
  <c r="S25" i="1" s="1"/>
  <c r="S24" i="1"/>
  <c r="Q24" i="1"/>
  <c r="Q23" i="1"/>
  <c r="V23" i="1" s="1"/>
  <c r="Q22" i="1"/>
  <c r="S22" i="1" s="1"/>
  <c r="Q21" i="1"/>
  <c r="S21" i="1" s="1"/>
  <c r="Q20" i="1"/>
  <c r="S20" i="1" s="1"/>
  <c r="S19" i="1"/>
  <c r="Q19" i="1"/>
  <c r="Q18" i="1"/>
  <c r="S18" i="1" s="1"/>
  <c r="Q17" i="1"/>
  <c r="S17" i="1" s="1"/>
  <c r="S16" i="1"/>
  <c r="Q16" i="1"/>
  <c r="Q15" i="1"/>
  <c r="V15" i="1" s="1"/>
  <c r="Q14" i="1"/>
  <c r="S14" i="1" s="1"/>
  <c r="Q13" i="1"/>
  <c r="S13" i="1" s="1"/>
  <c r="Q12" i="1"/>
  <c r="S12" i="1" s="1"/>
  <c r="S11" i="1"/>
  <c r="Q11" i="1"/>
  <c r="Q10" i="1"/>
  <c r="S10" i="1" s="1"/>
  <c r="Q9" i="1"/>
  <c r="S9" i="1" s="1"/>
  <c r="S8" i="1"/>
  <c r="Q8" i="1"/>
  <c r="Q7" i="1"/>
  <c r="V7" i="1" s="1"/>
  <c r="Q6" i="1"/>
  <c r="S6" i="1" s="1"/>
  <c r="Q5" i="1"/>
  <c r="S5" i="1" s="1"/>
  <c r="Q4" i="1"/>
  <c r="S4" i="1" s="1"/>
  <c r="S3" i="1"/>
  <c r="Q3" i="1"/>
  <c r="Q2" i="1"/>
  <c r="S2" i="1" s="1"/>
  <c r="S107" i="1" l="1"/>
  <c r="V3" i="1"/>
  <c r="V11" i="1"/>
  <c r="V19" i="1"/>
  <c r="V27" i="1"/>
  <c r="V35" i="1"/>
  <c r="V43" i="1"/>
  <c r="V51" i="1"/>
  <c r="V59" i="1"/>
  <c r="V67" i="1"/>
  <c r="V75" i="1"/>
  <c r="S7" i="1"/>
  <c r="S15" i="1"/>
  <c r="S23" i="1"/>
  <c r="S31" i="1"/>
  <c r="V39" i="1"/>
  <c r="V47" i="1"/>
  <c r="V55" i="1"/>
  <c r="V63" i="1"/>
  <c r="V71" i="1"/>
  <c r="V79" i="1"/>
</calcChain>
</file>

<file path=xl/sharedStrings.xml><?xml version="1.0" encoding="utf-8"?>
<sst xmlns="http://schemas.openxmlformats.org/spreadsheetml/2006/main" count="159" uniqueCount="42">
  <si>
    <t>gsl_region</t>
  </si>
  <si>
    <t>Year</t>
  </si>
  <si>
    <t>USGS Monitoring Site 1</t>
  </si>
  <si>
    <t>USGS Monitoring Site 2</t>
  </si>
  <si>
    <t>USGS Monitoring Site 3</t>
  </si>
  <si>
    <t>Max Height Date 1</t>
  </si>
  <si>
    <t>Max Height 1</t>
  </si>
  <si>
    <t>Max Height Date 2</t>
  </si>
  <si>
    <t>Max Height 2</t>
  </si>
  <si>
    <t>Max Height Date 3</t>
  </si>
  <si>
    <t>Max Height 3</t>
  </si>
  <si>
    <t>Final Max Date</t>
  </si>
  <si>
    <t>Height/Discharge</t>
  </si>
  <si>
    <t>selected_final_max_date</t>
  </si>
  <si>
    <t>Comments</t>
  </si>
  <si>
    <t>Days Since Jan 1st</t>
  </si>
  <si>
    <t>Average of Max Dates</t>
  </si>
  <si>
    <t>Difference of Quadrant Max Date and Average Max Date</t>
  </si>
  <si>
    <t>ne</t>
  </si>
  <si>
    <t>10126000 Discharge</t>
  </si>
  <si>
    <t>nw</t>
  </si>
  <si>
    <t>se</t>
  </si>
  <si>
    <t>No SE specific data, using Saltair as proxy.</t>
  </si>
  <si>
    <t>sw</t>
  </si>
  <si>
    <t>No other date to compare with, decided to use the date for Saltair (SW) and NW arm which are both March, 20th - 2000-03-20</t>
  </si>
  <si>
    <t>410401112134801 Discharge</t>
  </si>
  <si>
    <t>SE specific data is from October, so still use Saltair, but just for 2003</t>
  </si>
  <si>
    <t>10126000 Gauge Height</t>
  </si>
  <si>
    <t>410401112134801 Gauge Height</t>
  </si>
  <si>
    <t>10010060 - Gauge Height</t>
  </si>
  <si>
    <t>Using Discharge value that aligns with historical max time compared to September.</t>
  </si>
  <si>
    <t>Selecting max gage height as discharge max is strangely in Feb</t>
  </si>
  <si>
    <t xml:space="preserve">Using Discharge Value  </t>
  </si>
  <si>
    <t>Selecting max gage height as discharge max is strangely in December.</t>
  </si>
  <si>
    <t>Example of strange winter peak in some of the data, but the other data point to peak happening later, so here we go with the march date.</t>
  </si>
  <si>
    <t>Use Discharge value as the max dates are only 2 days apart.</t>
  </si>
  <si>
    <t>Clouds</t>
  </si>
  <si>
    <t xml:space="preserve">Used 2017-02-28 due to striations </t>
  </si>
  <si>
    <t>Use Site 1, for consistency across all other years.</t>
  </si>
  <si>
    <t>Selecting max gage height as discharge max is strangely in February.</t>
  </si>
  <si>
    <t>Choose Site 1 for consistency with every other year.</t>
  </si>
  <si>
    <t>Selecting max gage height as discharge max is strangely in January.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</si>
</sst>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:mm:ss"/>
    <numFmt numFmtId="165" formatCode="yyyy\-mm\-dd"/>
    <numFmt numFmtId="166" formatCode="d\-mmmm"/>
  </numFmts>
  <fonts count="14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Arial"/>
      <family val="2"/>
    </font>
    <font>
      <sz val="12"/>
      <color rgb="FF000000"/>
      <name val="&quot;DejaVu Sans&quot;"/>
    </font>
    <font>
      <b/>
      <sz val="12"/>
      <color rgb="FF000000"/>
      <name val="&quot;DejaVu Sans&quot;"/>
    </font>
    <font>
      <b/>
      <sz val="8"/>
      <color rgb="FF000000"/>
      <name val="&quot;DejaVu Sans&quot;"/>
    </font>
    <font>
      <sz val="11"/>
      <color rgb="FF000000"/>
      <name val="&quot;Aptos Narrow&quot;"/>
    </font>
    <font>
      <sz val="8"/>
      <color rgb="FF000000"/>
      <name val="&quot;DejaVu Sans&quot;"/>
    </font>
    <font>
      <b/>
      <sz val="12"/>
      <color rgb="FF000000"/>
      <name val="Arial"/>
      <family val="2"/>
    </font>
    <font>
      <sz val="8"/>
      <color rgb="FF000000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6DADC"/>
      </right>
      <top/>
      <bottom style="thin">
        <color rgb="FFD6DADC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D6DADC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1" fillId="0" borderId="3" xfId="0" applyFont="1" applyBorder="1"/>
    <xf numFmtId="0" fontId="4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65" fontId="5" fillId="0" borderId="0" xfId="0" applyNumberFormat="1" applyFont="1"/>
    <xf numFmtId="165" fontId="5" fillId="0" borderId="3" xfId="0" applyNumberFormat="1" applyFont="1" applyBorder="1"/>
    <xf numFmtId="0" fontId="5" fillId="0" borderId="3" xfId="0" applyFont="1" applyBorder="1" applyAlignment="1">
      <alignment horizontal="right"/>
    </xf>
    <xf numFmtId="165" fontId="6" fillId="0" borderId="3" xfId="0" applyNumberFormat="1" applyFont="1" applyBorder="1"/>
    <xf numFmtId="0" fontId="7" fillId="0" borderId="0" xfId="0" applyFont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5" fillId="0" borderId="3" xfId="0" applyFont="1" applyBorder="1"/>
    <xf numFmtId="16" fontId="8" fillId="0" borderId="0" xfId="0" applyNumberFormat="1" applyFont="1" applyAlignment="1">
      <alignment horizontal="right"/>
    </xf>
    <xf numFmtId="0" fontId="3" fillId="0" borderId="4" xfId="0" applyFont="1" applyBorder="1"/>
    <xf numFmtId="0" fontId="3" fillId="0" borderId="5" xfId="0" applyFont="1" applyBorder="1"/>
    <xf numFmtId="0" fontId="5" fillId="0" borderId="0" xfId="0" applyFont="1"/>
    <xf numFmtId="164" fontId="9" fillId="0" borderId="4" xfId="0" applyNumberFormat="1" applyFont="1" applyBorder="1"/>
    <xf numFmtId="164" fontId="9" fillId="0" borderId="5" xfId="0" applyNumberFormat="1" applyFont="1" applyBorder="1"/>
    <xf numFmtId="164" fontId="9" fillId="0" borderId="0" xfId="0" applyNumberFormat="1" applyFont="1"/>
    <xf numFmtId="166" fontId="8" fillId="0" borderId="0" xfId="0" applyNumberFormat="1" applyFont="1" applyAlignment="1">
      <alignment horizontal="right"/>
    </xf>
    <xf numFmtId="0" fontId="4" fillId="0" borderId="3" xfId="0" applyFont="1" applyBorder="1"/>
    <xf numFmtId="164" fontId="5" fillId="0" borderId="3" xfId="0" applyNumberFormat="1" applyFont="1" applyBorder="1"/>
    <xf numFmtId="0" fontId="3" fillId="0" borderId="3" xfId="0" applyFont="1" applyBorder="1"/>
    <xf numFmtId="165" fontId="4" fillId="0" borderId="3" xfId="0" applyNumberFormat="1" applyFont="1" applyBorder="1"/>
    <xf numFmtId="165" fontId="10" fillId="0" borderId="3" xfId="0" applyNumberFormat="1" applyFont="1" applyBorder="1"/>
    <xf numFmtId="0" fontId="3" fillId="0" borderId="6" xfId="0" applyFont="1" applyBorder="1"/>
    <xf numFmtId="0" fontId="3" fillId="0" borderId="7" xfId="0" applyFont="1" applyBorder="1"/>
    <xf numFmtId="16" fontId="8" fillId="0" borderId="3" xfId="0" applyNumberFormat="1" applyFont="1" applyBorder="1" applyAlignment="1">
      <alignment horizontal="right"/>
    </xf>
    <xf numFmtId="0" fontId="6" fillId="0" borderId="3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164" fontId="4" fillId="0" borderId="0" xfId="0" applyNumberFormat="1" applyFont="1"/>
    <xf numFmtId="0" fontId="6" fillId="0" borderId="3" xfId="0" applyFont="1" applyBorder="1" applyAlignment="1">
      <alignment horizontal="right"/>
    </xf>
    <xf numFmtId="0" fontId="6" fillId="0" borderId="3" xfId="0" applyFont="1" applyBorder="1"/>
    <xf numFmtId="164" fontId="6" fillId="0" borderId="3" xfId="0" applyNumberFormat="1" applyFont="1" applyBorder="1"/>
    <xf numFmtId="0" fontId="6" fillId="0" borderId="8" xfId="0" applyFont="1" applyBorder="1" applyAlignment="1">
      <alignment horizontal="right"/>
    </xf>
    <xf numFmtId="165" fontId="5" fillId="0" borderId="8" xfId="0" applyNumberFormat="1" applyFont="1" applyBorder="1"/>
    <xf numFmtId="0" fontId="9" fillId="0" borderId="0" xfId="0" applyFont="1" applyAlignment="1">
      <alignment horizontal="right"/>
    </xf>
    <xf numFmtId="0" fontId="1" fillId="0" borderId="8" xfId="0" applyFont="1" applyBorder="1"/>
    <xf numFmtId="166" fontId="8" fillId="0" borderId="3" xfId="0" applyNumberFormat="1" applyFont="1" applyBorder="1" applyAlignment="1">
      <alignment horizontal="right"/>
    </xf>
    <xf numFmtId="0" fontId="3" fillId="0" borderId="8" xfId="0" applyFont="1" applyBorder="1"/>
    <xf numFmtId="164" fontId="9" fillId="0" borderId="3" xfId="0" applyNumberFormat="1" applyFont="1" applyBorder="1"/>
    <xf numFmtId="164" fontId="6" fillId="0" borderId="0" xfId="0" applyNumberFormat="1" applyFont="1"/>
    <xf numFmtId="0" fontId="10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2" fillId="0" borderId="3" xfId="0" applyFont="1" applyBorder="1"/>
    <xf numFmtId="0" fontId="7" fillId="0" borderId="3" xfId="0" applyFont="1" applyBorder="1" applyAlignment="1">
      <alignment horizontal="right"/>
    </xf>
    <xf numFmtId="0" fontId="9" fillId="0" borderId="3" xfId="0" applyFont="1" applyBorder="1"/>
    <xf numFmtId="0" fontId="9" fillId="0" borderId="3" xfId="0" applyFont="1" applyBorder="1" applyAlignment="1">
      <alignment horizontal="right"/>
    </xf>
    <xf numFmtId="164" fontId="7" fillId="0" borderId="3" xfId="0" applyNumberFormat="1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ColWidth="12.5703125" defaultRowHeight="15.75" customHeight="1"/>
  <cols>
    <col min="1" max="1" width="14" bestFit="1" customWidth="1"/>
    <col min="2" max="2" width="8.140625" bestFit="1" customWidth="1"/>
    <col min="3" max="3" width="32.140625" bestFit="1" customWidth="1"/>
    <col min="4" max="5" width="27.85546875" bestFit="1" customWidth="1"/>
    <col min="6" max="6" width="23.42578125" bestFit="1" customWidth="1"/>
    <col min="7" max="7" width="16.7109375" bestFit="1" customWidth="1"/>
    <col min="8" max="8" width="22.85546875" bestFit="1" customWidth="1"/>
    <col min="9" max="9" width="16.7109375" bestFit="1" customWidth="1"/>
    <col min="10" max="10" width="22.85546875" bestFit="1" customWidth="1"/>
    <col min="11" max="11" width="16.7109375" bestFit="1" customWidth="1"/>
    <col min="13" max="13" width="18.7109375" bestFit="1" customWidth="1"/>
    <col min="14" max="14" width="21.140625" bestFit="1" customWidth="1"/>
    <col min="15" max="15" width="31" bestFit="1" customWidth="1"/>
    <col min="16" max="16" width="130.5703125" bestFit="1" customWidth="1"/>
    <col min="17" max="17" width="19.7109375" bestFit="1" customWidth="1"/>
    <col min="18" max="18" width="21.7109375" bestFit="1" customWidth="1"/>
    <col min="19" max="19" width="50.7109375" bestFit="1" customWidth="1"/>
    <col min="21" max="21" width="7.140625" bestFit="1" customWidth="1"/>
    <col min="22" max="22" width="21.7109375" bestFit="1" customWidth="1"/>
  </cols>
  <sheetData>
    <row r="1" spans="1:2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 t="s">
        <v>11</v>
      </c>
      <c r="N1" s="1" t="s">
        <v>12</v>
      </c>
      <c r="O1" s="2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U1" s="4" t="s">
        <v>1</v>
      </c>
      <c r="V1" s="5" t="s">
        <v>16</v>
      </c>
    </row>
    <row r="2" spans="1:23" ht="15.75" customHeight="1">
      <c r="A2" s="1" t="s">
        <v>18</v>
      </c>
      <c r="B2" s="1">
        <v>1998</v>
      </c>
      <c r="C2" s="6"/>
      <c r="D2" s="7" t="s">
        <v>19</v>
      </c>
      <c r="E2" s="1"/>
      <c r="F2" s="6"/>
      <c r="G2" s="6"/>
      <c r="H2" s="8">
        <v>35930.666666666664</v>
      </c>
      <c r="I2" s="9">
        <v>6350</v>
      </c>
      <c r="J2" s="10"/>
      <c r="K2" s="10"/>
      <c r="L2" s="11"/>
      <c r="M2" s="12">
        <v>35930</v>
      </c>
      <c r="N2" s="13">
        <v>6350</v>
      </c>
      <c r="O2" s="14">
        <v>35930</v>
      </c>
      <c r="P2" s="15"/>
      <c r="Q2" s="3">
        <f t="shared" ref="Q2:Q109" si="0">DATEDIF(DATE(YEAR(O2),1,1),O2, "D")</f>
        <v>134</v>
      </c>
      <c r="R2" s="3">
        <v>165</v>
      </c>
      <c r="S2" s="3">
        <f t="shared" ref="S2:S109" si="1">Q2-R2</f>
        <v>-31</v>
      </c>
      <c r="U2" s="16"/>
      <c r="V2" s="17"/>
      <c r="W2" s="15"/>
    </row>
    <row r="3" spans="1:23" ht="15.75" customHeight="1">
      <c r="A3" s="1" t="s">
        <v>20</v>
      </c>
      <c r="B3" s="1">
        <v>1998</v>
      </c>
      <c r="C3" s="18">
        <v>10010100</v>
      </c>
      <c r="D3" s="1"/>
      <c r="E3" s="11"/>
      <c r="F3" s="12">
        <v>35972</v>
      </c>
      <c r="G3" s="13">
        <v>4202.2</v>
      </c>
      <c r="H3" s="1"/>
      <c r="I3" s="2"/>
      <c r="J3" s="1"/>
      <c r="K3" s="1"/>
      <c r="L3" s="19"/>
      <c r="M3" s="12">
        <v>35972</v>
      </c>
      <c r="N3" s="13">
        <v>4202.2</v>
      </c>
      <c r="O3" s="14">
        <v>35972</v>
      </c>
      <c r="Q3" s="3">
        <f t="shared" si="0"/>
        <v>176</v>
      </c>
      <c r="R3" s="3">
        <v>165</v>
      </c>
      <c r="S3" s="3">
        <f t="shared" si="1"/>
        <v>11</v>
      </c>
      <c r="U3" s="20">
        <v>1998</v>
      </c>
      <c r="V3" s="21">
        <f>AVERAGE(Q3,Q30,Q57,Q84)</f>
        <v>144.75</v>
      </c>
    </row>
    <row r="4" spans="1:23" ht="15.75" customHeight="1">
      <c r="A4" s="1" t="s">
        <v>21</v>
      </c>
      <c r="B4" s="1">
        <v>1998</v>
      </c>
      <c r="C4" s="6"/>
      <c r="D4" s="1"/>
      <c r="E4" s="1"/>
      <c r="F4" s="6"/>
      <c r="G4" s="6"/>
      <c r="H4" s="1"/>
      <c r="I4" s="1"/>
      <c r="J4" s="1"/>
      <c r="K4" s="1"/>
      <c r="L4" s="1"/>
      <c r="M4" s="12">
        <v>35971</v>
      </c>
      <c r="N4" s="6"/>
      <c r="O4" s="14">
        <v>35971</v>
      </c>
      <c r="P4" s="3" t="s">
        <v>22</v>
      </c>
      <c r="Q4" s="3">
        <f t="shared" si="0"/>
        <v>175</v>
      </c>
      <c r="R4" s="3">
        <v>165</v>
      </c>
      <c r="S4" s="3">
        <f t="shared" si="1"/>
        <v>10</v>
      </c>
      <c r="U4" s="20"/>
      <c r="V4" s="21"/>
    </row>
    <row r="5" spans="1:23" ht="15.75" customHeight="1">
      <c r="A5" s="1" t="s">
        <v>23</v>
      </c>
      <c r="B5" s="1">
        <v>1998</v>
      </c>
      <c r="C5" s="18">
        <v>10010000</v>
      </c>
      <c r="D5" s="1"/>
      <c r="E5" s="11"/>
      <c r="F5" s="12">
        <v>35971</v>
      </c>
      <c r="G5" s="13">
        <v>4203.2</v>
      </c>
      <c r="H5" s="1"/>
      <c r="I5" s="2"/>
      <c r="J5" s="1"/>
      <c r="K5" s="1"/>
      <c r="L5" s="1"/>
      <c r="M5" s="12">
        <v>35971</v>
      </c>
      <c r="N5" s="13">
        <v>4203.2</v>
      </c>
      <c r="O5" s="14">
        <v>35971</v>
      </c>
      <c r="Q5" s="3">
        <f t="shared" si="0"/>
        <v>175</v>
      </c>
      <c r="R5" s="3">
        <v>165</v>
      </c>
      <c r="S5" s="3">
        <f t="shared" si="1"/>
        <v>10</v>
      </c>
      <c r="U5" s="20"/>
      <c r="V5" s="21"/>
    </row>
    <row r="6" spans="1:23" ht="15.75" customHeight="1">
      <c r="A6" s="1" t="s">
        <v>18</v>
      </c>
      <c r="B6" s="1">
        <v>1999</v>
      </c>
      <c r="C6" s="6"/>
      <c r="D6" s="22">
        <v>10126000</v>
      </c>
      <c r="E6" s="1"/>
      <c r="F6" s="6"/>
      <c r="G6" s="6"/>
      <c r="H6" s="8">
        <v>36287.729166666664</v>
      </c>
      <c r="I6" s="9">
        <v>6190</v>
      </c>
      <c r="J6" s="10"/>
      <c r="K6" s="10"/>
      <c r="L6" s="11"/>
      <c r="M6" s="12">
        <v>36287</v>
      </c>
      <c r="N6" s="13">
        <v>6190</v>
      </c>
      <c r="O6" s="14">
        <v>36287</v>
      </c>
      <c r="P6" s="15"/>
      <c r="Q6" s="3">
        <f t="shared" si="0"/>
        <v>126</v>
      </c>
      <c r="R6" s="3">
        <v>154.25</v>
      </c>
      <c r="S6" s="3">
        <f t="shared" si="1"/>
        <v>-28.25</v>
      </c>
      <c r="U6" s="16"/>
      <c r="V6" s="17"/>
      <c r="W6" s="15"/>
    </row>
    <row r="7" spans="1:23" ht="15.75" customHeight="1">
      <c r="A7" s="1" t="s">
        <v>20</v>
      </c>
      <c r="B7" s="1">
        <v>1999</v>
      </c>
      <c r="C7" s="18">
        <v>10010100</v>
      </c>
      <c r="D7" s="1"/>
      <c r="E7" s="11"/>
      <c r="F7" s="12">
        <v>36336</v>
      </c>
      <c r="G7" s="13">
        <v>4203.5</v>
      </c>
      <c r="H7" s="1"/>
      <c r="I7" s="1"/>
      <c r="J7" s="1"/>
      <c r="K7" s="1"/>
      <c r="L7" s="19"/>
      <c r="M7" s="12">
        <v>36336</v>
      </c>
      <c r="N7" s="13">
        <v>4203.5</v>
      </c>
      <c r="O7" s="14">
        <v>36336</v>
      </c>
      <c r="Q7" s="3">
        <f t="shared" si="0"/>
        <v>175</v>
      </c>
      <c r="R7" s="3">
        <v>154.25</v>
      </c>
      <c r="S7" s="3">
        <f t="shared" si="1"/>
        <v>20.75</v>
      </c>
      <c r="U7" s="20">
        <v>1999</v>
      </c>
      <c r="V7" s="21">
        <f>AVERAGE(Q7,Q34,Q61,Q88)</f>
        <v>125.5</v>
      </c>
    </row>
    <row r="8" spans="1:23" ht="15.75" customHeight="1">
      <c r="A8" s="1" t="s">
        <v>21</v>
      </c>
      <c r="B8" s="1">
        <v>1999</v>
      </c>
      <c r="C8" s="6"/>
      <c r="D8" s="1"/>
      <c r="E8" s="1"/>
      <c r="F8" s="6"/>
      <c r="G8" s="6"/>
      <c r="H8" s="1"/>
      <c r="I8" s="1"/>
      <c r="J8" s="1"/>
      <c r="K8" s="1"/>
      <c r="L8" s="1"/>
      <c r="M8" s="12">
        <v>36319</v>
      </c>
      <c r="N8" s="6"/>
      <c r="O8" s="14">
        <v>36319</v>
      </c>
      <c r="P8" s="3" t="s">
        <v>22</v>
      </c>
      <c r="Q8" s="3">
        <f t="shared" si="0"/>
        <v>158</v>
      </c>
      <c r="R8" s="3">
        <v>154.25</v>
      </c>
      <c r="S8" s="3">
        <f t="shared" si="1"/>
        <v>3.75</v>
      </c>
      <c r="U8" s="20"/>
      <c r="V8" s="21"/>
    </row>
    <row r="9" spans="1:23" ht="15.75" customHeight="1">
      <c r="A9" s="1" t="s">
        <v>23</v>
      </c>
      <c r="B9" s="1">
        <v>1999</v>
      </c>
      <c r="C9" s="18">
        <v>10010000</v>
      </c>
      <c r="D9" s="1"/>
      <c r="E9" s="11"/>
      <c r="F9" s="12">
        <v>36319</v>
      </c>
      <c r="G9" s="13">
        <v>4204.2</v>
      </c>
      <c r="H9" s="1"/>
      <c r="I9" s="1"/>
      <c r="J9" s="1"/>
      <c r="K9" s="1"/>
      <c r="L9" s="1"/>
      <c r="M9" s="12">
        <v>36319</v>
      </c>
      <c r="N9" s="13">
        <v>4204.2</v>
      </c>
      <c r="O9" s="14">
        <v>36319</v>
      </c>
      <c r="Q9" s="3">
        <f t="shared" si="0"/>
        <v>158</v>
      </c>
      <c r="R9" s="3">
        <v>154.25</v>
      </c>
      <c r="S9" s="3">
        <f t="shared" si="1"/>
        <v>3.75</v>
      </c>
      <c r="U9" s="20"/>
      <c r="V9" s="21"/>
    </row>
    <row r="10" spans="1:23" ht="15.75" customHeight="1">
      <c r="A10" s="1" t="s">
        <v>18</v>
      </c>
      <c r="B10" s="1">
        <v>2000</v>
      </c>
      <c r="C10" s="6"/>
      <c r="D10" s="22">
        <v>10126000</v>
      </c>
      <c r="E10" s="1"/>
      <c r="F10" s="6"/>
      <c r="G10" s="6"/>
      <c r="H10" s="8">
        <v>36535.53125</v>
      </c>
      <c r="I10" s="9">
        <v>4130</v>
      </c>
      <c r="J10" s="1"/>
      <c r="K10" s="10"/>
      <c r="L10" s="11"/>
      <c r="M10" s="12">
        <v>36535</v>
      </c>
      <c r="N10" s="13">
        <v>4130</v>
      </c>
      <c r="O10" s="14">
        <v>36605</v>
      </c>
      <c r="P10" s="3" t="s">
        <v>24</v>
      </c>
      <c r="Q10" s="3">
        <f t="shared" si="0"/>
        <v>79</v>
      </c>
      <c r="R10" s="3">
        <v>79</v>
      </c>
      <c r="S10" s="3">
        <f t="shared" si="1"/>
        <v>0</v>
      </c>
      <c r="U10" s="23"/>
      <c r="V10" s="24"/>
      <c r="W10" s="25"/>
    </row>
    <row r="11" spans="1:23" ht="15.75" customHeight="1">
      <c r="A11" s="1" t="s">
        <v>20</v>
      </c>
      <c r="B11" s="1">
        <v>2000</v>
      </c>
      <c r="C11" s="18">
        <v>10010100</v>
      </c>
      <c r="D11" s="1"/>
      <c r="E11" s="11"/>
      <c r="F11" s="12">
        <v>36605</v>
      </c>
      <c r="G11" s="13">
        <v>4203</v>
      </c>
      <c r="H11" s="1"/>
      <c r="I11" s="1"/>
      <c r="J11" s="1"/>
      <c r="K11" s="1"/>
      <c r="L11" s="19"/>
      <c r="M11" s="12">
        <v>36605</v>
      </c>
      <c r="N11" s="13">
        <v>4203</v>
      </c>
      <c r="O11" s="14">
        <v>36605</v>
      </c>
      <c r="Q11" s="3">
        <f t="shared" si="0"/>
        <v>79</v>
      </c>
      <c r="R11" s="3">
        <v>79</v>
      </c>
      <c r="S11" s="3">
        <f t="shared" si="1"/>
        <v>0</v>
      </c>
      <c r="U11" s="20">
        <v>2000</v>
      </c>
      <c r="V11" s="21">
        <f>AVERAGE(Q11,Q38,Q65,Q92)</f>
        <v>85.5</v>
      </c>
    </row>
    <row r="12" spans="1:23" ht="15.75" customHeight="1">
      <c r="A12" s="1" t="s">
        <v>21</v>
      </c>
      <c r="B12" s="1">
        <v>2000</v>
      </c>
      <c r="C12" s="6"/>
      <c r="D12" s="1"/>
      <c r="E12" s="1"/>
      <c r="F12" s="6"/>
      <c r="G12" s="6"/>
      <c r="H12" s="1"/>
      <c r="I12" s="1"/>
      <c r="J12" s="1"/>
      <c r="K12" s="1"/>
      <c r="L12" s="1"/>
      <c r="M12" s="12">
        <v>36605</v>
      </c>
      <c r="N12" s="6"/>
      <c r="O12" s="14">
        <v>36605</v>
      </c>
      <c r="P12" s="3" t="s">
        <v>22</v>
      </c>
      <c r="Q12" s="3">
        <f t="shared" si="0"/>
        <v>79</v>
      </c>
      <c r="R12" s="3">
        <v>79</v>
      </c>
      <c r="S12" s="3">
        <f t="shared" si="1"/>
        <v>0</v>
      </c>
      <c r="U12" s="20"/>
      <c r="V12" s="21"/>
    </row>
    <row r="13" spans="1:23" ht="15.75" customHeight="1">
      <c r="A13" s="1" t="s">
        <v>23</v>
      </c>
      <c r="B13" s="1">
        <v>2000</v>
      </c>
      <c r="C13" s="18">
        <v>10010000</v>
      </c>
      <c r="D13" s="1"/>
      <c r="E13" s="11"/>
      <c r="F13" s="12">
        <v>36605</v>
      </c>
      <c r="G13" s="13">
        <v>4203.6000000000004</v>
      </c>
      <c r="H13" s="1"/>
      <c r="I13" s="1"/>
      <c r="J13" s="1"/>
      <c r="K13" s="1"/>
      <c r="L13" s="1"/>
      <c r="M13" s="12">
        <v>36605</v>
      </c>
      <c r="N13" s="13">
        <v>4203.6000000000004</v>
      </c>
      <c r="O13" s="14">
        <v>36605</v>
      </c>
      <c r="Q13" s="3">
        <f t="shared" si="0"/>
        <v>79</v>
      </c>
      <c r="R13" s="3">
        <v>79</v>
      </c>
      <c r="S13" s="3">
        <f t="shared" si="1"/>
        <v>0</v>
      </c>
      <c r="U13" s="20"/>
      <c r="V13" s="21"/>
    </row>
    <row r="14" spans="1:23" ht="15.75" customHeight="1">
      <c r="A14" s="1" t="s">
        <v>18</v>
      </c>
      <c r="B14" s="1">
        <v>2001</v>
      </c>
      <c r="C14" s="6"/>
      <c r="D14" s="22">
        <v>10126000</v>
      </c>
      <c r="E14" s="1"/>
      <c r="F14" s="6"/>
      <c r="G14" s="6"/>
      <c r="H14" s="8">
        <v>36979.96875</v>
      </c>
      <c r="I14" s="9">
        <v>2620</v>
      </c>
      <c r="J14" s="1"/>
      <c r="K14" s="10"/>
      <c r="L14" s="11"/>
      <c r="M14" s="12">
        <v>36979</v>
      </c>
      <c r="N14" s="13">
        <v>2620</v>
      </c>
      <c r="O14" s="14">
        <v>36979</v>
      </c>
      <c r="P14" s="25"/>
      <c r="Q14" s="3">
        <f t="shared" si="0"/>
        <v>87</v>
      </c>
      <c r="R14" s="3">
        <v>88.25</v>
      </c>
      <c r="S14" s="3">
        <f t="shared" si="1"/>
        <v>-1.25</v>
      </c>
      <c r="U14" s="23"/>
      <c r="V14" s="24"/>
      <c r="W14" s="25"/>
    </row>
    <row r="15" spans="1:23" ht="15.75" customHeight="1">
      <c r="A15" s="1" t="s">
        <v>20</v>
      </c>
      <c r="B15" s="1">
        <v>2001</v>
      </c>
      <c r="C15" s="18">
        <v>10010100</v>
      </c>
      <c r="D15" s="1"/>
      <c r="E15" s="11"/>
      <c r="F15" s="12">
        <v>36960</v>
      </c>
      <c r="G15" s="13">
        <v>4201.1000000000004</v>
      </c>
      <c r="H15" s="1"/>
      <c r="I15" s="1"/>
      <c r="J15" s="1"/>
      <c r="K15" s="1"/>
      <c r="L15" s="19"/>
      <c r="M15" s="12">
        <v>36960</v>
      </c>
      <c r="N15" s="13">
        <v>4201.1000000000004</v>
      </c>
      <c r="O15" s="14">
        <v>36960</v>
      </c>
      <c r="Q15" s="3">
        <f t="shared" si="0"/>
        <v>68</v>
      </c>
      <c r="R15" s="3">
        <v>88.25</v>
      </c>
      <c r="S15" s="3">
        <f t="shared" si="1"/>
        <v>-20.25</v>
      </c>
      <c r="U15" s="20">
        <v>2001</v>
      </c>
      <c r="V15" s="21">
        <f>AVERAGE(Q15,Q42,Q69,Q96)</f>
        <v>103.5</v>
      </c>
    </row>
    <row r="16" spans="1:23" ht="15.75" customHeight="1">
      <c r="A16" s="1" t="s">
        <v>21</v>
      </c>
      <c r="B16" s="1">
        <v>2001</v>
      </c>
      <c r="C16" s="6"/>
      <c r="D16" s="1"/>
      <c r="E16" s="1"/>
      <c r="F16" s="6"/>
      <c r="G16" s="6"/>
      <c r="H16" s="1"/>
      <c r="I16" s="1"/>
      <c r="J16" s="1"/>
      <c r="K16" s="1"/>
      <c r="L16" s="1"/>
      <c r="M16" s="12">
        <v>36991</v>
      </c>
      <c r="N16" s="6"/>
      <c r="O16" s="14">
        <v>36991</v>
      </c>
      <c r="P16" s="3" t="s">
        <v>22</v>
      </c>
      <c r="Q16" s="3">
        <f t="shared" si="0"/>
        <v>99</v>
      </c>
      <c r="R16" s="3">
        <v>88.25</v>
      </c>
      <c r="S16" s="3">
        <f t="shared" si="1"/>
        <v>10.75</v>
      </c>
      <c r="U16" s="20"/>
      <c r="V16" s="21"/>
    </row>
    <row r="17" spans="1:23" ht="15.75" customHeight="1">
      <c r="A17" s="1" t="s">
        <v>23</v>
      </c>
      <c r="B17" s="1">
        <v>2001</v>
      </c>
      <c r="C17" s="18">
        <v>10010000</v>
      </c>
      <c r="D17" s="1"/>
      <c r="E17" s="11"/>
      <c r="F17" s="12">
        <v>36991</v>
      </c>
      <c r="G17" s="13">
        <v>4201.7</v>
      </c>
      <c r="H17" s="1"/>
      <c r="I17" s="1"/>
      <c r="J17" s="1"/>
      <c r="K17" s="1"/>
      <c r="L17" s="1"/>
      <c r="M17" s="12">
        <v>36991</v>
      </c>
      <c r="N17" s="13">
        <v>4201.7</v>
      </c>
      <c r="O17" s="14">
        <v>36991</v>
      </c>
      <c r="Q17" s="3">
        <f t="shared" si="0"/>
        <v>99</v>
      </c>
      <c r="R17" s="3">
        <v>88.25</v>
      </c>
      <c r="S17" s="3">
        <f t="shared" si="1"/>
        <v>10.75</v>
      </c>
      <c r="U17" s="20"/>
      <c r="V17" s="21"/>
    </row>
    <row r="18" spans="1:23" ht="15.75" customHeight="1">
      <c r="A18" s="1" t="s">
        <v>18</v>
      </c>
      <c r="B18" s="1">
        <v>2002</v>
      </c>
      <c r="C18" s="6"/>
      <c r="D18" s="22">
        <v>10126000</v>
      </c>
      <c r="E18" s="1"/>
      <c r="F18" s="6"/>
      <c r="G18" s="6"/>
      <c r="H18" s="8">
        <v>37341.510416666664</v>
      </c>
      <c r="I18" s="9">
        <v>2750</v>
      </c>
      <c r="J18" s="1"/>
      <c r="K18" s="10"/>
      <c r="L18" s="11"/>
      <c r="M18" s="12">
        <v>37341</v>
      </c>
      <c r="N18" s="13">
        <v>2750</v>
      </c>
      <c r="O18" s="14">
        <v>37341</v>
      </c>
      <c r="P18" s="25"/>
      <c r="Q18" s="3">
        <f t="shared" si="0"/>
        <v>84</v>
      </c>
      <c r="R18" s="3">
        <v>115.5</v>
      </c>
      <c r="S18" s="3">
        <f t="shared" si="1"/>
        <v>-31.5</v>
      </c>
      <c r="U18" s="23"/>
      <c r="V18" s="24"/>
      <c r="W18" s="25"/>
    </row>
    <row r="19" spans="1:23" ht="15.75" customHeight="1">
      <c r="A19" s="1" t="s">
        <v>20</v>
      </c>
      <c r="B19" s="1">
        <v>2002</v>
      </c>
      <c r="C19" s="18">
        <v>10010100</v>
      </c>
      <c r="D19" s="1"/>
      <c r="E19" s="11"/>
      <c r="F19" s="12">
        <v>37383</v>
      </c>
      <c r="G19" s="13">
        <v>4199.32</v>
      </c>
      <c r="H19" s="1"/>
      <c r="I19" s="1"/>
      <c r="J19" s="1"/>
      <c r="K19" s="1"/>
      <c r="L19" s="26"/>
      <c r="M19" s="12">
        <v>37383</v>
      </c>
      <c r="N19" s="13">
        <v>4199.32</v>
      </c>
      <c r="O19" s="14">
        <v>37383</v>
      </c>
      <c r="Q19" s="3">
        <f t="shared" si="0"/>
        <v>126</v>
      </c>
      <c r="R19" s="3">
        <v>115.5</v>
      </c>
      <c r="S19" s="3">
        <f t="shared" si="1"/>
        <v>10.5</v>
      </c>
      <c r="U19" s="20">
        <v>2002</v>
      </c>
      <c r="V19" s="21">
        <f>AVERAGE(Q19,Q46,Q73,Q100)</f>
        <v>153.75</v>
      </c>
    </row>
    <row r="20" spans="1:23" ht="15.75" customHeight="1">
      <c r="A20" s="1" t="s">
        <v>21</v>
      </c>
      <c r="B20" s="1">
        <v>2002</v>
      </c>
      <c r="C20" s="6"/>
      <c r="D20" s="1"/>
      <c r="E20" s="1"/>
      <c r="F20" s="6"/>
      <c r="G20" s="6"/>
      <c r="H20" s="1"/>
      <c r="I20" s="1"/>
      <c r="J20" s="1"/>
      <c r="K20" s="1"/>
      <c r="L20" s="1"/>
      <c r="M20" s="12">
        <v>37383</v>
      </c>
      <c r="N20" s="6"/>
      <c r="O20" s="14">
        <v>37383</v>
      </c>
      <c r="P20" s="3" t="s">
        <v>22</v>
      </c>
      <c r="Q20" s="3">
        <f t="shared" si="0"/>
        <v>126</v>
      </c>
      <c r="R20" s="3">
        <v>115.5</v>
      </c>
      <c r="S20" s="3">
        <f t="shared" si="1"/>
        <v>10.5</v>
      </c>
      <c r="U20" s="20"/>
      <c r="V20" s="21"/>
    </row>
    <row r="21" spans="1:23" ht="15.75" customHeight="1">
      <c r="A21" s="1" t="s">
        <v>23</v>
      </c>
      <c r="B21" s="1">
        <v>2002</v>
      </c>
      <c r="C21" s="18">
        <v>10010000</v>
      </c>
      <c r="D21" s="1"/>
      <c r="E21" s="11"/>
      <c r="F21" s="12">
        <v>37383</v>
      </c>
      <c r="G21" s="13">
        <v>4199.8900000000003</v>
      </c>
      <c r="H21" s="1"/>
      <c r="I21" s="1"/>
      <c r="J21" s="1"/>
      <c r="K21" s="1"/>
      <c r="L21" s="1"/>
      <c r="M21" s="12">
        <v>37383</v>
      </c>
      <c r="N21" s="13">
        <v>4199.8900000000003</v>
      </c>
      <c r="O21" s="14">
        <v>37383</v>
      </c>
      <c r="Q21" s="3">
        <f t="shared" si="0"/>
        <v>126</v>
      </c>
      <c r="R21" s="3">
        <v>115.5</v>
      </c>
      <c r="S21" s="3">
        <f t="shared" si="1"/>
        <v>10.5</v>
      </c>
      <c r="U21" s="20"/>
      <c r="V21" s="21"/>
    </row>
    <row r="22" spans="1:23" ht="15.75" customHeight="1">
      <c r="A22" s="1" t="s">
        <v>18</v>
      </c>
      <c r="B22" s="1">
        <v>2003</v>
      </c>
      <c r="C22" s="6"/>
      <c r="D22" s="22">
        <v>10126000</v>
      </c>
      <c r="E22" s="1"/>
      <c r="F22" s="6"/>
      <c r="G22" s="6"/>
      <c r="H22" s="8">
        <v>37701.822916666664</v>
      </c>
      <c r="I22" s="9">
        <v>1600</v>
      </c>
      <c r="J22" s="1"/>
      <c r="K22" s="10"/>
      <c r="L22" s="11"/>
      <c r="M22" s="12">
        <v>37701</v>
      </c>
      <c r="N22" s="13">
        <v>1600</v>
      </c>
      <c r="O22" s="14">
        <v>37701</v>
      </c>
      <c r="P22" s="25"/>
      <c r="Q22" s="3">
        <f t="shared" si="0"/>
        <v>79</v>
      </c>
      <c r="R22" s="3">
        <v>70.75</v>
      </c>
      <c r="S22" s="3">
        <f t="shared" si="1"/>
        <v>8.25</v>
      </c>
      <c r="U22" s="23"/>
      <c r="V22" s="24"/>
      <c r="W22" s="25"/>
    </row>
    <row r="23" spans="1:23" ht="15.75" customHeight="1">
      <c r="A23" s="1" t="s">
        <v>20</v>
      </c>
      <c r="B23" s="1">
        <v>2003</v>
      </c>
      <c r="C23" s="18">
        <v>10010100</v>
      </c>
      <c r="D23" s="6"/>
      <c r="E23" s="12"/>
      <c r="F23" s="12">
        <v>37674</v>
      </c>
      <c r="G23" s="13">
        <v>4197.55</v>
      </c>
      <c r="H23" s="6"/>
      <c r="I23" s="6"/>
      <c r="J23" s="1"/>
      <c r="K23" s="1"/>
      <c r="L23" s="19"/>
      <c r="M23" s="12">
        <v>37674</v>
      </c>
      <c r="N23" s="13">
        <v>4197.55</v>
      </c>
      <c r="O23" s="14">
        <v>37674</v>
      </c>
      <c r="Q23" s="3">
        <f t="shared" si="0"/>
        <v>52</v>
      </c>
      <c r="R23" s="3">
        <v>70.75</v>
      </c>
      <c r="S23" s="3">
        <f t="shared" si="1"/>
        <v>-18.75</v>
      </c>
      <c r="U23" s="20">
        <v>2003</v>
      </c>
      <c r="V23" s="21">
        <f>AVERAGE(Q23,Q50,Q77,Q104)</f>
        <v>131</v>
      </c>
    </row>
    <row r="24" spans="1:23" ht="15.75" customHeight="1">
      <c r="A24" s="1" t="s">
        <v>21</v>
      </c>
      <c r="B24" s="1">
        <v>2003</v>
      </c>
      <c r="C24" s="27" t="s">
        <v>25</v>
      </c>
      <c r="D24" s="6"/>
      <c r="E24" s="6"/>
      <c r="F24" s="28">
        <v>37965.901388888888</v>
      </c>
      <c r="G24" s="13">
        <v>1270</v>
      </c>
      <c r="H24" s="29"/>
      <c r="I24" s="29"/>
      <c r="J24" s="1"/>
      <c r="K24" s="1"/>
      <c r="L24" s="1"/>
      <c r="M24" s="12">
        <v>37698</v>
      </c>
      <c r="N24" s="13">
        <v>1270</v>
      </c>
      <c r="O24" s="14">
        <v>37698</v>
      </c>
      <c r="P24" s="3" t="s">
        <v>26</v>
      </c>
      <c r="Q24" s="3">
        <f t="shared" si="0"/>
        <v>76</v>
      </c>
      <c r="R24" s="3">
        <v>70.75</v>
      </c>
      <c r="S24" s="3">
        <f t="shared" si="1"/>
        <v>5.25</v>
      </c>
      <c r="U24" s="20"/>
      <c r="V24" s="21"/>
    </row>
    <row r="25" spans="1:23" ht="15.75" customHeight="1">
      <c r="A25" s="1" t="s">
        <v>23</v>
      </c>
      <c r="B25" s="1">
        <v>2003</v>
      </c>
      <c r="C25" s="18">
        <v>10010000</v>
      </c>
      <c r="D25" s="6"/>
      <c r="E25" s="12"/>
      <c r="F25" s="12">
        <v>37698</v>
      </c>
      <c r="G25" s="13">
        <v>4198.08</v>
      </c>
      <c r="H25" s="6"/>
      <c r="I25" s="6"/>
      <c r="J25" s="1"/>
      <c r="K25" s="8"/>
      <c r="L25" s="1"/>
      <c r="M25" s="12">
        <v>37698</v>
      </c>
      <c r="N25" s="13">
        <v>4198.08</v>
      </c>
      <c r="O25" s="14">
        <v>37698</v>
      </c>
      <c r="Q25" s="3">
        <f t="shared" si="0"/>
        <v>76</v>
      </c>
      <c r="R25" s="3">
        <v>70.75</v>
      </c>
      <c r="S25" s="3">
        <f t="shared" si="1"/>
        <v>5.25</v>
      </c>
      <c r="U25" s="20"/>
      <c r="V25" s="21"/>
    </row>
    <row r="26" spans="1:23" ht="15.75" customHeight="1">
      <c r="A26" s="1" t="s">
        <v>18</v>
      </c>
      <c r="B26" s="1">
        <v>2004</v>
      </c>
      <c r="C26" s="6"/>
      <c r="D26" s="27">
        <v>10126000</v>
      </c>
      <c r="E26" s="6"/>
      <c r="F26" s="6"/>
      <c r="G26" s="6"/>
      <c r="H26" s="28">
        <v>38068.3125</v>
      </c>
      <c r="I26" s="13">
        <v>2140</v>
      </c>
      <c r="J26" s="1"/>
      <c r="K26" s="1"/>
      <c r="L26" s="11"/>
      <c r="M26" s="12">
        <v>38068</v>
      </c>
      <c r="N26" s="13">
        <v>2140</v>
      </c>
      <c r="O26" s="14">
        <v>38068</v>
      </c>
      <c r="P26" s="25"/>
      <c r="Q26" s="3">
        <f t="shared" si="0"/>
        <v>81</v>
      </c>
      <c r="R26" s="3">
        <v>100.25</v>
      </c>
      <c r="S26" s="3">
        <f t="shared" si="1"/>
        <v>-19.25</v>
      </c>
      <c r="U26" s="23"/>
      <c r="V26" s="24"/>
      <c r="W26" s="25"/>
    </row>
    <row r="27" spans="1:23" ht="15.75" customHeight="1">
      <c r="A27" s="1" t="s">
        <v>20</v>
      </c>
      <c r="B27" s="1">
        <v>2004</v>
      </c>
      <c r="C27" s="18">
        <v>10010100</v>
      </c>
      <c r="D27" s="6"/>
      <c r="E27" s="12"/>
      <c r="F27" s="12">
        <v>38078</v>
      </c>
      <c r="G27" s="13">
        <v>4195.7700000000004</v>
      </c>
      <c r="H27" s="6"/>
      <c r="I27" s="6"/>
      <c r="J27" s="1"/>
      <c r="K27" s="1"/>
      <c r="L27" s="19"/>
      <c r="M27" s="12">
        <v>38078</v>
      </c>
      <c r="N27" s="13">
        <v>4195.7700000000004</v>
      </c>
      <c r="O27" s="14">
        <v>38078</v>
      </c>
      <c r="Q27" s="3">
        <f t="shared" si="0"/>
        <v>91</v>
      </c>
      <c r="R27" s="3">
        <v>100.25</v>
      </c>
      <c r="S27" s="3">
        <f t="shared" si="1"/>
        <v>-9.25</v>
      </c>
      <c r="U27" s="20">
        <v>2004</v>
      </c>
      <c r="V27" s="21">
        <f>AVERAGE(Q27,Q54,Q81,Q108)</f>
        <v>118</v>
      </c>
    </row>
    <row r="28" spans="1:23" ht="15.75" customHeight="1">
      <c r="A28" s="1" t="s">
        <v>21</v>
      </c>
      <c r="B28" s="1">
        <v>2004</v>
      </c>
      <c r="C28" s="18">
        <v>410401112134801</v>
      </c>
      <c r="D28" s="6"/>
      <c r="E28" s="6"/>
      <c r="F28" s="28">
        <v>38117.805555555555</v>
      </c>
      <c r="G28" s="13">
        <v>1740</v>
      </c>
      <c r="H28" s="29"/>
      <c r="I28" s="29"/>
      <c r="J28" s="1"/>
      <c r="K28" s="1"/>
      <c r="L28" s="1"/>
      <c r="M28" s="30">
        <v>38117</v>
      </c>
      <c r="N28" s="13">
        <v>1740</v>
      </c>
      <c r="O28" s="31">
        <v>38117</v>
      </c>
      <c r="Q28" s="3">
        <f t="shared" si="0"/>
        <v>130</v>
      </c>
      <c r="R28" s="3">
        <v>100.25</v>
      </c>
      <c r="S28" s="3">
        <f t="shared" si="1"/>
        <v>29.75</v>
      </c>
      <c r="U28" s="32"/>
      <c r="V28" s="33"/>
    </row>
    <row r="29" spans="1:23" ht="15.75" customHeight="1">
      <c r="A29" s="1" t="s">
        <v>23</v>
      </c>
      <c r="B29" s="1">
        <v>2004</v>
      </c>
      <c r="C29" s="18">
        <v>10010000</v>
      </c>
      <c r="D29" s="1"/>
      <c r="E29" s="11"/>
      <c r="F29" s="12">
        <v>38086</v>
      </c>
      <c r="G29" s="13">
        <v>4196.38</v>
      </c>
      <c r="H29" s="1"/>
      <c r="I29" s="1"/>
      <c r="J29" s="1"/>
      <c r="K29" s="8"/>
      <c r="L29" s="1"/>
      <c r="M29" s="12">
        <v>38086</v>
      </c>
      <c r="N29" s="13">
        <v>4196.38</v>
      </c>
      <c r="O29" s="14">
        <v>38086</v>
      </c>
      <c r="Q29" s="3">
        <f t="shared" si="0"/>
        <v>99</v>
      </c>
      <c r="R29" s="3">
        <v>100.25</v>
      </c>
      <c r="S29" s="3">
        <f t="shared" si="1"/>
        <v>-1.25</v>
      </c>
    </row>
    <row r="30" spans="1:23" ht="15.75" customHeight="1">
      <c r="A30" s="1" t="s">
        <v>18</v>
      </c>
      <c r="B30" s="1">
        <v>2005</v>
      </c>
      <c r="C30" s="6"/>
      <c r="D30" s="22">
        <v>10126000</v>
      </c>
      <c r="E30" s="1"/>
      <c r="F30" s="6"/>
      <c r="G30" s="6"/>
      <c r="H30" s="8">
        <v>38475.1875</v>
      </c>
      <c r="I30" s="9">
        <v>8040</v>
      </c>
      <c r="J30" s="1"/>
      <c r="K30" s="1"/>
      <c r="L30" s="11"/>
      <c r="M30" s="12">
        <v>38475</v>
      </c>
      <c r="N30" s="13">
        <v>8040</v>
      </c>
      <c r="O30" s="14">
        <v>38475</v>
      </c>
      <c r="P30" s="25"/>
      <c r="Q30" s="3">
        <f t="shared" si="0"/>
        <v>122</v>
      </c>
      <c r="R30" s="3">
        <v>158.25</v>
      </c>
      <c r="S30" s="3">
        <f t="shared" si="1"/>
        <v>-36.25</v>
      </c>
      <c r="U30" s="25"/>
      <c r="V30" s="25"/>
      <c r="W30" s="25"/>
    </row>
    <row r="31" spans="1:23" ht="15.75" customHeight="1">
      <c r="A31" s="1" t="s">
        <v>20</v>
      </c>
      <c r="B31" s="1">
        <v>2005</v>
      </c>
      <c r="C31" s="18">
        <v>10010100</v>
      </c>
      <c r="D31" s="1"/>
      <c r="E31" s="11"/>
      <c r="F31" s="12">
        <v>38520</v>
      </c>
      <c r="G31" s="13">
        <v>4196.51</v>
      </c>
      <c r="H31" s="1"/>
      <c r="I31" s="1"/>
      <c r="J31" s="1"/>
      <c r="K31" s="1"/>
      <c r="L31" s="19"/>
      <c r="M31" s="12">
        <v>38520</v>
      </c>
      <c r="N31" s="13">
        <v>4196.51</v>
      </c>
      <c r="O31" s="14">
        <v>38520</v>
      </c>
      <c r="Q31" s="3">
        <f t="shared" si="0"/>
        <v>167</v>
      </c>
      <c r="R31" s="3">
        <v>158.25</v>
      </c>
      <c r="S31" s="3">
        <f t="shared" si="1"/>
        <v>8.75</v>
      </c>
      <c r="U31" s="3">
        <v>2005</v>
      </c>
      <c r="V31" s="3">
        <f>AVERAGE(Q31,Q58,Q85,Q112)</f>
        <v>117.66666666666667</v>
      </c>
    </row>
    <row r="32" spans="1:23" ht="15.75" customHeight="1">
      <c r="A32" s="1" t="s">
        <v>21</v>
      </c>
      <c r="B32" s="1">
        <v>2005</v>
      </c>
      <c r="C32" s="18">
        <v>410401112134801</v>
      </c>
      <c r="D32" s="1"/>
      <c r="E32" s="1"/>
      <c r="F32" s="28">
        <v>38529.177083333336</v>
      </c>
      <c r="G32" s="13">
        <v>2560</v>
      </c>
      <c r="J32" s="1"/>
      <c r="K32" s="1"/>
      <c r="L32" s="1"/>
      <c r="M32" s="30">
        <v>38529</v>
      </c>
      <c r="N32" s="13">
        <v>2560</v>
      </c>
      <c r="O32" s="31">
        <v>38529</v>
      </c>
      <c r="Q32" s="3">
        <f t="shared" si="0"/>
        <v>176</v>
      </c>
      <c r="R32" s="3">
        <v>158.25</v>
      </c>
      <c r="S32" s="3">
        <f t="shared" si="1"/>
        <v>17.75</v>
      </c>
    </row>
    <row r="33" spans="1:23" ht="15.75" customHeight="1">
      <c r="A33" s="1" t="s">
        <v>23</v>
      </c>
      <c r="B33" s="1">
        <v>2005</v>
      </c>
      <c r="C33" s="18">
        <v>10010000</v>
      </c>
      <c r="D33" s="1"/>
      <c r="E33" s="11"/>
      <c r="F33" s="12">
        <v>38521</v>
      </c>
      <c r="G33" s="13">
        <v>4197.45</v>
      </c>
      <c r="H33" s="1"/>
      <c r="I33" s="1"/>
      <c r="J33" s="1"/>
      <c r="K33" s="8"/>
      <c r="L33" s="1"/>
      <c r="M33" s="12">
        <v>38521</v>
      </c>
      <c r="N33" s="13">
        <v>4197.45</v>
      </c>
      <c r="O33" s="14">
        <v>38521</v>
      </c>
      <c r="Q33" s="3">
        <f t="shared" si="0"/>
        <v>168</v>
      </c>
      <c r="R33" s="3">
        <v>158.25</v>
      </c>
      <c r="S33" s="3">
        <f t="shared" si="1"/>
        <v>9.75</v>
      </c>
    </row>
    <row r="34" spans="1:23" ht="15.75" customHeight="1">
      <c r="A34" s="1" t="s">
        <v>18</v>
      </c>
      <c r="B34" s="1">
        <v>2006</v>
      </c>
      <c r="C34" s="6"/>
      <c r="D34" s="22">
        <v>10126000</v>
      </c>
      <c r="E34" s="1"/>
      <c r="F34" s="6"/>
      <c r="G34" s="6"/>
      <c r="H34" s="8">
        <v>38829.135416666664</v>
      </c>
      <c r="I34" s="9">
        <v>6470</v>
      </c>
      <c r="J34" s="1"/>
      <c r="K34" s="6"/>
      <c r="L34" s="11"/>
      <c r="M34" s="12">
        <v>38829</v>
      </c>
      <c r="N34" s="13">
        <v>6470</v>
      </c>
      <c r="O34" s="14">
        <v>38829</v>
      </c>
      <c r="P34" s="25"/>
      <c r="Q34" s="3">
        <f t="shared" si="0"/>
        <v>111</v>
      </c>
      <c r="R34" s="3">
        <v>146.75</v>
      </c>
      <c r="S34" s="3">
        <f t="shared" si="1"/>
        <v>-35.75</v>
      </c>
      <c r="U34" s="25"/>
      <c r="V34" s="25"/>
      <c r="W34" s="25"/>
    </row>
    <row r="35" spans="1:23" ht="15.75" customHeight="1">
      <c r="A35" s="1" t="s">
        <v>20</v>
      </c>
      <c r="B35" s="1">
        <v>2006</v>
      </c>
      <c r="C35" s="18">
        <v>10010100</v>
      </c>
      <c r="D35" s="1"/>
      <c r="E35" s="11"/>
      <c r="F35" s="12">
        <v>38864</v>
      </c>
      <c r="G35" s="13">
        <v>4197.26</v>
      </c>
      <c r="H35" s="1"/>
      <c r="I35" s="1"/>
      <c r="J35" s="1"/>
      <c r="K35" s="6"/>
      <c r="L35" s="19"/>
      <c r="M35" s="12">
        <v>38864</v>
      </c>
      <c r="N35" s="13">
        <v>4197.26</v>
      </c>
      <c r="O35" s="14">
        <v>38864</v>
      </c>
      <c r="Q35" s="3">
        <f t="shared" si="0"/>
        <v>146</v>
      </c>
      <c r="R35" s="3">
        <v>146.75</v>
      </c>
      <c r="S35" s="3">
        <f t="shared" si="1"/>
        <v>-0.75</v>
      </c>
      <c r="U35" s="3">
        <v>2006</v>
      </c>
      <c r="V35" s="3">
        <f>AVERAGE(Q35,Q62,Q89,Q116)</f>
        <v>126.66666666666667</v>
      </c>
    </row>
    <row r="36" spans="1:23" ht="15.75" customHeight="1">
      <c r="A36" s="1" t="s">
        <v>21</v>
      </c>
      <c r="B36" s="1">
        <v>2006</v>
      </c>
      <c r="C36" s="18">
        <v>410401112134801</v>
      </c>
      <c r="D36" s="1"/>
      <c r="E36" s="1"/>
      <c r="F36" s="28">
        <v>38902.986805555556</v>
      </c>
      <c r="G36" s="13">
        <v>3640</v>
      </c>
      <c r="J36" s="1"/>
      <c r="K36" s="6"/>
      <c r="L36" s="1"/>
      <c r="M36" s="30">
        <v>38902</v>
      </c>
      <c r="N36" s="13">
        <v>3640</v>
      </c>
      <c r="O36" s="31">
        <v>38902</v>
      </c>
      <c r="Q36" s="3">
        <f t="shared" si="0"/>
        <v>184</v>
      </c>
      <c r="R36" s="3">
        <v>146.75</v>
      </c>
      <c r="S36" s="3">
        <f t="shared" si="1"/>
        <v>37.25</v>
      </c>
    </row>
    <row r="37" spans="1:23" ht="15.75" customHeight="1">
      <c r="A37" s="1" t="s">
        <v>23</v>
      </c>
      <c r="B37" s="1">
        <v>2006</v>
      </c>
      <c r="C37" s="18">
        <v>10010000</v>
      </c>
      <c r="D37" s="1"/>
      <c r="E37" s="11"/>
      <c r="F37" s="12">
        <v>38864</v>
      </c>
      <c r="G37" s="13">
        <v>4198.3</v>
      </c>
      <c r="H37" s="1"/>
      <c r="I37" s="1"/>
      <c r="J37" s="1"/>
      <c r="K37" s="28"/>
      <c r="L37" s="1"/>
      <c r="M37" s="12">
        <v>38864</v>
      </c>
      <c r="N37" s="13">
        <v>4198.3</v>
      </c>
      <c r="O37" s="14">
        <v>38864</v>
      </c>
      <c r="Q37" s="3">
        <f t="shared" si="0"/>
        <v>146</v>
      </c>
      <c r="R37" s="3">
        <v>146.75</v>
      </c>
      <c r="S37" s="3">
        <f t="shared" si="1"/>
        <v>-0.75</v>
      </c>
    </row>
    <row r="38" spans="1:23" ht="15.75" customHeight="1">
      <c r="A38" s="1" t="s">
        <v>18</v>
      </c>
      <c r="B38" s="1">
        <v>2007</v>
      </c>
      <c r="C38" s="6"/>
      <c r="D38" s="22">
        <v>10126000</v>
      </c>
      <c r="E38" s="1"/>
      <c r="F38" s="6"/>
      <c r="G38" s="6"/>
      <c r="H38" s="8">
        <v>39153.697916666664</v>
      </c>
      <c r="I38" s="9">
        <v>2840</v>
      </c>
      <c r="J38" s="1"/>
      <c r="K38" s="6"/>
      <c r="L38" s="11"/>
      <c r="M38" s="12">
        <v>39153</v>
      </c>
      <c r="N38" s="13">
        <v>2840</v>
      </c>
      <c r="O38" s="14">
        <v>39153</v>
      </c>
      <c r="P38" s="25"/>
      <c r="Q38" s="3">
        <f t="shared" si="0"/>
        <v>70</v>
      </c>
      <c r="R38" s="3">
        <v>105.75</v>
      </c>
      <c r="S38" s="3">
        <f t="shared" si="1"/>
        <v>-35.75</v>
      </c>
      <c r="U38" s="25"/>
      <c r="V38" s="25"/>
      <c r="W38" s="25"/>
    </row>
    <row r="39" spans="1:23" ht="15.75" customHeight="1">
      <c r="A39" s="1" t="s">
        <v>20</v>
      </c>
      <c r="B39" s="1">
        <v>2007</v>
      </c>
      <c r="C39" s="18">
        <v>10010100</v>
      </c>
      <c r="D39" s="1"/>
      <c r="E39" s="11"/>
      <c r="F39" s="12">
        <v>39182</v>
      </c>
      <c r="G39" s="13">
        <v>4197.2700000000004</v>
      </c>
      <c r="H39" s="1"/>
      <c r="I39" s="1"/>
      <c r="J39" s="6"/>
      <c r="K39" s="6"/>
      <c r="L39" s="34"/>
      <c r="M39" s="12">
        <v>39182</v>
      </c>
      <c r="N39" s="13">
        <v>4197.2700000000004</v>
      </c>
      <c r="O39" s="14">
        <v>39182</v>
      </c>
      <c r="Q39" s="3">
        <f t="shared" si="0"/>
        <v>99</v>
      </c>
      <c r="R39" s="3">
        <v>105.75</v>
      </c>
      <c r="S39" s="3">
        <f t="shared" si="1"/>
        <v>-6.75</v>
      </c>
      <c r="U39" s="3">
        <v>2007</v>
      </c>
      <c r="V39" s="3">
        <f>AVERAGE(Q39,Q66,Q93,Q120)</f>
        <v>87.666666666666671</v>
      </c>
    </row>
    <row r="40" spans="1:23" ht="15.75" customHeight="1">
      <c r="A40" s="1" t="s">
        <v>21</v>
      </c>
      <c r="B40" s="1">
        <v>2007</v>
      </c>
      <c r="C40" s="18">
        <v>410401112134801</v>
      </c>
      <c r="D40" s="1"/>
      <c r="E40" s="1"/>
      <c r="F40" s="28">
        <v>39238.697916666664</v>
      </c>
      <c r="G40" s="13">
        <v>2070</v>
      </c>
      <c r="J40" s="6"/>
      <c r="K40" s="6"/>
      <c r="L40" s="35"/>
      <c r="M40" s="30">
        <v>39238</v>
      </c>
      <c r="N40" s="13">
        <v>2070</v>
      </c>
      <c r="O40" s="31">
        <v>39238</v>
      </c>
      <c r="Q40" s="3">
        <f t="shared" si="0"/>
        <v>155</v>
      </c>
      <c r="R40" s="3">
        <v>105.75</v>
      </c>
      <c r="S40" s="3">
        <f t="shared" si="1"/>
        <v>49.25</v>
      </c>
    </row>
    <row r="41" spans="1:23" ht="15.75" customHeight="1">
      <c r="A41" s="1" t="s">
        <v>23</v>
      </c>
      <c r="B41" s="1">
        <v>2007</v>
      </c>
      <c r="C41" s="18">
        <v>10010000</v>
      </c>
      <c r="D41" s="1"/>
      <c r="E41" s="11"/>
      <c r="F41" s="12">
        <v>39182</v>
      </c>
      <c r="G41" s="13">
        <v>4197.93</v>
      </c>
      <c r="H41" s="1"/>
      <c r="I41" s="1"/>
      <c r="J41" s="6"/>
      <c r="K41" s="28"/>
      <c r="L41" s="6"/>
      <c r="M41" s="12">
        <v>39182</v>
      </c>
      <c r="N41" s="13">
        <v>4197.93</v>
      </c>
      <c r="O41" s="14">
        <v>39182</v>
      </c>
      <c r="Q41" s="3">
        <f t="shared" si="0"/>
        <v>99</v>
      </c>
      <c r="R41" s="3">
        <v>105.75</v>
      </c>
      <c r="S41" s="3">
        <f t="shared" si="1"/>
        <v>-6.75</v>
      </c>
    </row>
    <row r="42" spans="1:23" ht="15.75" customHeight="1">
      <c r="A42" s="1" t="s">
        <v>18</v>
      </c>
      <c r="B42" s="1">
        <v>2008</v>
      </c>
      <c r="C42" s="27" t="s">
        <v>27</v>
      </c>
      <c r="D42" s="22">
        <v>10126000</v>
      </c>
      <c r="E42" s="22"/>
      <c r="F42" s="28">
        <v>39592.552083333336</v>
      </c>
      <c r="G42" s="13">
        <v>8.86</v>
      </c>
      <c r="H42" s="8">
        <v>39592.53125</v>
      </c>
      <c r="I42" s="9">
        <v>2530</v>
      </c>
      <c r="J42" s="6"/>
      <c r="K42" s="6"/>
      <c r="L42" s="12"/>
      <c r="M42" s="12">
        <v>39592</v>
      </c>
      <c r="N42" s="13">
        <v>2530</v>
      </c>
      <c r="O42" s="14">
        <v>39592</v>
      </c>
      <c r="P42" s="25"/>
      <c r="Q42" s="3">
        <f t="shared" si="0"/>
        <v>144</v>
      </c>
      <c r="R42" s="3">
        <v>108.5</v>
      </c>
      <c r="S42" s="3">
        <f t="shared" si="1"/>
        <v>35.5</v>
      </c>
      <c r="U42" s="25"/>
      <c r="V42" s="25"/>
      <c r="W42" s="25"/>
    </row>
    <row r="43" spans="1:23" ht="15.75" customHeight="1">
      <c r="A43" s="1" t="s">
        <v>20</v>
      </c>
      <c r="B43" s="1">
        <v>2008</v>
      </c>
      <c r="C43" s="18">
        <v>10010100</v>
      </c>
      <c r="D43" s="1"/>
      <c r="E43" s="11"/>
      <c r="F43" s="12">
        <v>39558</v>
      </c>
      <c r="G43" s="13">
        <v>4195.4399999999996</v>
      </c>
      <c r="H43" s="1"/>
      <c r="I43" s="1"/>
      <c r="J43" s="6"/>
      <c r="K43" s="6"/>
      <c r="L43" s="34"/>
      <c r="M43" s="12">
        <v>39558</v>
      </c>
      <c r="N43" s="13">
        <v>4195.4399999999996</v>
      </c>
      <c r="O43" s="14">
        <v>39558</v>
      </c>
      <c r="Q43" s="3">
        <f t="shared" si="0"/>
        <v>110</v>
      </c>
      <c r="R43" s="3">
        <v>108.5</v>
      </c>
      <c r="S43" s="3">
        <f t="shared" si="1"/>
        <v>1.5</v>
      </c>
      <c r="U43" s="3">
        <v>2008</v>
      </c>
      <c r="V43" s="3">
        <f>AVERAGE(Q43,Q70,Q97,Q124)</f>
        <v>115.33333333333333</v>
      </c>
    </row>
    <row r="44" spans="1:23">
      <c r="A44" s="1" t="s">
        <v>21</v>
      </c>
      <c r="B44" s="1">
        <v>2008</v>
      </c>
      <c r="C44" s="18">
        <v>410401112134801</v>
      </c>
      <c r="D44" s="36" t="s">
        <v>28</v>
      </c>
      <c r="E44" s="8"/>
      <c r="F44" s="28">
        <v>39509.052083333336</v>
      </c>
      <c r="G44" s="13">
        <v>1720</v>
      </c>
      <c r="H44" s="8">
        <v>39553.427083333336</v>
      </c>
      <c r="I44" s="9">
        <v>7.32</v>
      </c>
      <c r="J44" s="6"/>
      <c r="K44" s="35"/>
      <c r="L44" s="35"/>
      <c r="M44" s="12">
        <v>39553</v>
      </c>
      <c r="N44" s="13">
        <v>1720</v>
      </c>
      <c r="O44" s="14">
        <v>39553</v>
      </c>
      <c r="Q44" s="3">
        <f t="shared" si="0"/>
        <v>105</v>
      </c>
      <c r="R44" s="3">
        <v>108.5</v>
      </c>
      <c r="S44" s="3">
        <f t="shared" si="1"/>
        <v>-3.5</v>
      </c>
    </row>
    <row r="45" spans="1:23">
      <c r="A45" s="1" t="s">
        <v>23</v>
      </c>
      <c r="B45" s="1">
        <v>2008</v>
      </c>
      <c r="C45" s="18">
        <v>10010000</v>
      </c>
      <c r="D45" s="1"/>
      <c r="E45" s="11"/>
      <c r="F45" s="12">
        <v>39523</v>
      </c>
      <c r="G45" s="13">
        <v>4196.2</v>
      </c>
      <c r="H45" s="1"/>
      <c r="I45" s="1"/>
      <c r="J45" s="28"/>
      <c r="K45" s="28"/>
      <c r="L45" s="28"/>
      <c r="M45" s="12">
        <v>39523</v>
      </c>
      <c r="N45" s="13">
        <v>4196.2</v>
      </c>
      <c r="O45" s="14">
        <v>39523</v>
      </c>
      <c r="Q45" s="3">
        <f t="shared" si="0"/>
        <v>75</v>
      </c>
      <c r="R45" s="3">
        <v>108.5</v>
      </c>
      <c r="S45" s="3">
        <f t="shared" si="1"/>
        <v>-33.5</v>
      </c>
    </row>
    <row r="46" spans="1:23">
      <c r="A46" s="1" t="s">
        <v>18</v>
      </c>
      <c r="B46" s="1">
        <v>2009</v>
      </c>
      <c r="C46" s="18">
        <v>10126000</v>
      </c>
      <c r="D46" s="22">
        <v>10126000</v>
      </c>
      <c r="E46" s="22" t="s">
        <v>29</v>
      </c>
      <c r="F46" s="28">
        <v>39982.104166666664</v>
      </c>
      <c r="G46" s="13">
        <v>11.06</v>
      </c>
      <c r="H46" s="8">
        <v>39981.854166666664</v>
      </c>
      <c r="I46" s="9">
        <v>3970</v>
      </c>
      <c r="J46" s="28">
        <v>40068.114583333336</v>
      </c>
      <c r="K46" s="13">
        <v>27.19</v>
      </c>
      <c r="L46" s="12"/>
      <c r="M46" s="12">
        <v>39981</v>
      </c>
      <c r="N46" s="13">
        <v>3970</v>
      </c>
      <c r="O46" s="14">
        <v>39981</v>
      </c>
      <c r="P46" s="37" t="s">
        <v>30</v>
      </c>
      <c r="Q46" s="3">
        <f t="shared" si="0"/>
        <v>167</v>
      </c>
      <c r="R46" s="3">
        <v>176</v>
      </c>
      <c r="S46" s="3">
        <f t="shared" si="1"/>
        <v>-9</v>
      </c>
      <c r="U46" s="25"/>
      <c r="V46" s="25"/>
      <c r="W46" s="25"/>
    </row>
    <row r="47" spans="1:23">
      <c r="A47" s="1" t="s">
        <v>20</v>
      </c>
      <c r="B47" s="1">
        <v>2009</v>
      </c>
      <c r="C47" s="18">
        <v>10010100</v>
      </c>
      <c r="D47" s="1"/>
      <c r="E47" s="11"/>
      <c r="F47" s="12">
        <v>40002</v>
      </c>
      <c r="G47" s="13">
        <v>4194.97</v>
      </c>
      <c r="H47" s="1"/>
      <c r="I47" s="1"/>
      <c r="J47" s="6"/>
      <c r="K47" s="6"/>
      <c r="L47" s="34"/>
      <c r="M47" s="12">
        <v>40002</v>
      </c>
      <c r="N47" s="13">
        <v>4194.97</v>
      </c>
      <c r="O47" s="14">
        <v>40002</v>
      </c>
      <c r="Q47" s="3">
        <f t="shared" si="0"/>
        <v>188</v>
      </c>
      <c r="R47" s="3">
        <v>176</v>
      </c>
      <c r="S47" s="3">
        <f t="shared" si="1"/>
        <v>12</v>
      </c>
      <c r="U47" s="3">
        <v>2009</v>
      </c>
      <c r="V47" s="3">
        <f>AVERAGE(Q47,Q74,Q101,Q128)</f>
        <v>130</v>
      </c>
    </row>
    <row r="48" spans="1:23">
      <c r="A48" s="1" t="s">
        <v>21</v>
      </c>
      <c r="B48" s="1">
        <v>2009</v>
      </c>
      <c r="C48" s="18">
        <v>410401112134801</v>
      </c>
      <c r="D48" s="22">
        <v>410401112134801</v>
      </c>
      <c r="E48" s="8"/>
      <c r="F48" s="28">
        <v>39856</v>
      </c>
      <c r="G48" s="13">
        <v>1330</v>
      </c>
      <c r="H48" s="38">
        <v>39979.135416666664</v>
      </c>
      <c r="I48" s="9">
        <v>7.23</v>
      </c>
      <c r="J48" s="35"/>
      <c r="K48" s="39"/>
      <c r="L48" s="18"/>
      <c r="M48" s="12">
        <v>39979</v>
      </c>
      <c r="N48" s="13">
        <v>1330</v>
      </c>
      <c r="O48" s="14">
        <v>39979</v>
      </c>
      <c r="P48" s="3" t="s">
        <v>31</v>
      </c>
      <c r="Q48" s="3">
        <f t="shared" si="0"/>
        <v>165</v>
      </c>
      <c r="R48" s="3">
        <v>176</v>
      </c>
      <c r="S48" s="3">
        <f t="shared" si="1"/>
        <v>-11</v>
      </c>
    </row>
    <row r="49" spans="1:22">
      <c r="A49" s="1" t="s">
        <v>23</v>
      </c>
      <c r="B49" s="1">
        <v>2009</v>
      </c>
      <c r="C49" s="18">
        <v>10010000</v>
      </c>
      <c r="D49" s="1"/>
      <c r="E49" s="11"/>
      <c r="F49" s="12">
        <v>39998</v>
      </c>
      <c r="G49" s="13">
        <v>4196.1000000000004</v>
      </c>
      <c r="H49" s="1"/>
      <c r="I49" s="1"/>
      <c r="J49" s="28"/>
      <c r="K49" s="28"/>
      <c r="L49" s="28"/>
      <c r="M49" s="12">
        <v>39998</v>
      </c>
      <c r="N49" s="13">
        <v>4196.1000000000004</v>
      </c>
      <c r="O49" s="14">
        <v>39998</v>
      </c>
      <c r="Q49" s="3">
        <f t="shared" si="0"/>
        <v>184</v>
      </c>
      <c r="R49" s="3">
        <v>176</v>
      </c>
      <c r="S49" s="3">
        <f t="shared" si="1"/>
        <v>8</v>
      </c>
    </row>
    <row r="50" spans="1:22">
      <c r="A50" s="2" t="s">
        <v>18</v>
      </c>
      <c r="B50" s="2">
        <v>2010</v>
      </c>
      <c r="C50" s="40">
        <v>10126000</v>
      </c>
      <c r="D50" s="40">
        <v>10126000</v>
      </c>
      <c r="E50" s="27">
        <v>10010060</v>
      </c>
      <c r="F50" s="41">
        <v>40507.854166666664</v>
      </c>
      <c r="G50" s="39">
        <v>10.1</v>
      </c>
      <c r="H50" s="41">
        <v>40340.010416666664</v>
      </c>
      <c r="I50" s="39">
        <v>2810</v>
      </c>
      <c r="J50" s="28">
        <v>40267.833333333336</v>
      </c>
      <c r="K50" s="13">
        <v>6.78</v>
      </c>
      <c r="L50" s="12"/>
      <c r="M50" s="12">
        <v>40340</v>
      </c>
      <c r="N50" s="13">
        <v>2810</v>
      </c>
      <c r="O50" s="14">
        <v>40340</v>
      </c>
      <c r="P50" s="37" t="s">
        <v>32</v>
      </c>
      <c r="Q50" s="3">
        <f t="shared" si="0"/>
        <v>161</v>
      </c>
      <c r="R50" s="3">
        <v>134.75</v>
      </c>
      <c r="S50" s="3">
        <f t="shared" si="1"/>
        <v>26.25</v>
      </c>
    </row>
    <row r="51" spans="1:22">
      <c r="A51" s="1" t="s">
        <v>20</v>
      </c>
      <c r="B51" s="1">
        <v>2010</v>
      </c>
      <c r="C51" s="18">
        <v>10010100</v>
      </c>
      <c r="D51" s="6"/>
      <c r="E51" s="12"/>
      <c r="F51" s="12">
        <v>40274</v>
      </c>
      <c r="G51" s="13">
        <v>4194.74</v>
      </c>
      <c r="H51" s="6"/>
      <c r="I51" s="6"/>
      <c r="J51" s="6"/>
      <c r="K51" s="6"/>
      <c r="L51" s="34"/>
      <c r="M51" s="12">
        <v>40274</v>
      </c>
      <c r="N51" s="13">
        <v>4194.74</v>
      </c>
      <c r="O51" s="14">
        <v>40274</v>
      </c>
      <c r="Q51" s="3">
        <f t="shared" si="0"/>
        <v>95</v>
      </c>
      <c r="R51" s="3">
        <v>134.75</v>
      </c>
      <c r="S51" s="3">
        <f t="shared" si="1"/>
        <v>-39.75</v>
      </c>
      <c r="U51" s="3">
        <v>2010</v>
      </c>
      <c r="V51" s="3">
        <f>AVERAGE(Q51,Q78,Q105,Q132)</f>
        <v>102.66666666666667</v>
      </c>
    </row>
    <row r="52" spans="1:22">
      <c r="A52" s="2" t="s">
        <v>21</v>
      </c>
      <c r="B52" s="2">
        <v>2010</v>
      </c>
      <c r="C52" s="40">
        <v>410401112134801</v>
      </c>
      <c r="D52" s="40">
        <v>410401112134801</v>
      </c>
      <c r="E52" s="41"/>
      <c r="F52" s="41">
        <v>40541.708333333336</v>
      </c>
      <c r="G52" s="39">
        <v>1680</v>
      </c>
      <c r="H52" s="41">
        <v>40296.322916666664</v>
      </c>
      <c r="I52" s="39">
        <v>6.81</v>
      </c>
      <c r="J52" s="39"/>
      <c r="K52" s="39"/>
      <c r="L52" s="18"/>
      <c r="M52" s="12">
        <v>40296</v>
      </c>
      <c r="N52" s="13">
        <v>1680</v>
      </c>
      <c r="O52" s="14">
        <v>40296</v>
      </c>
      <c r="P52" s="3" t="s">
        <v>33</v>
      </c>
      <c r="Q52" s="3">
        <f t="shared" si="0"/>
        <v>117</v>
      </c>
      <c r="R52" s="3">
        <v>134.75</v>
      </c>
      <c r="S52" s="3">
        <f t="shared" si="1"/>
        <v>-17.75</v>
      </c>
    </row>
    <row r="53" spans="1:22">
      <c r="A53" s="1" t="s">
        <v>23</v>
      </c>
      <c r="B53" s="1">
        <v>2010</v>
      </c>
      <c r="C53" s="18">
        <v>10010000</v>
      </c>
      <c r="D53" s="6"/>
      <c r="E53" s="12"/>
      <c r="F53" s="12">
        <v>40345</v>
      </c>
      <c r="G53" s="13">
        <v>4195.78</v>
      </c>
      <c r="H53" s="6"/>
      <c r="I53" s="6"/>
      <c r="J53" s="28"/>
      <c r="K53" s="28"/>
      <c r="L53" s="41"/>
      <c r="M53" s="12">
        <v>40345</v>
      </c>
      <c r="N53" s="13">
        <v>4195.78</v>
      </c>
      <c r="O53" s="14">
        <v>40345</v>
      </c>
      <c r="Q53" s="3">
        <f t="shared" si="0"/>
        <v>166</v>
      </c>
      <c r="R53" s="3">
        <v>134.75</v>
      </c>
      <c r="S53" s="3">
        <f t="shared" si="1"/>
        <v>31.25</v>
      </c>
    </row>
    <row r="54" spans="1:22">
      <c r="A54" s="1" t="s">
        <v>18</v>
      </c>
      <c r="B54" s="1">
        <v>2011</v>
      </c>
      <c r="C54" s="18">
        <v>10126000</v>
      </c>
      <c r="D54" s="27">
        <v>10126000</v>
      </c>
      <c r="E54" s="18">
        <v>10010060</v>
      </c>
      <c r="F54" s="28">
        <v>40684.322916666664</v>
      </c>
      <c r="G54" s="13">
        <v>14.13</v>
      </c>
      <c r="H54" s="28">
        <v>40684.322916666664</v>
      </c>
      <c r="I54" s="13">
        <v>6520</v>
      </c>
      <c r="J54" s="28">
        <v>40735.052083333336</v>
      </c>
      <c r="K54" s="13">
        <v>9.94</v>
      </c>
      <c r="L54" s="12"/>
      <c r="M54" s="12">
        <v>40684</v>
      </c>
      <c r="N54" s="13">
        <v>6520</v>
      </c>
      <c r="O54" s="14">
        <v>40684</v>
      </c>
      <c r="P54" s="37" t="s">
        <v>32</v>
      </c>
      <c r="Q54" s="3">
        <f t="shared" si="0"/>
        <v>140</v>
      </c>
      <c r="R54" s="3">
        <v>176.75</v>
      </c>
      <c r="S54" s="3">
        <f t="shared" si="1"/>
        <v>-36.75</v>
      </c>
    </row>
    <row r="55" spans="1:22">
      <c r="A55" s="1" t="s">
        <v>20</v>
      </c>
      <c r="B55" s="1">
        <v>2011</v>
      </c>
      <c r="C55" s="18">
        <v>10010100</v>
      </c>
      <c r="D55" s="6"/>
      <c r="E55" s="12"/>
      <c r="F55" s="12">
        <v>40744</v>
      </c>
      <c r="G55" s="13">
        <v>4197.24</v>
      </c>
      <c r="H55" s="6"/>
      <c r="I55" s="6"/>
      <c r="J55" s="6"/>
      <c r="K55" s="6"/>
      <c r="L55" s="34"/>
      <c r="M55" s="12">
        <v>40744</v>
      </c>
      <c r="N55" s="13">
        <v>4197.24</v>
      </c>
      <c r="O55" s="14">
        <v>40744</v>
      </c>
      <c r="Q55" s="3">
        <f t="shared" si="0"/>
        <v>200</v>
      </c>
      <c r="R55" s="3">
        <v>176.75</v>
      </c>
      <c r="S55" s="3">
        <f t="shared" si="1"/>
        <v>23.25</v>
      </c>
      <c r="U55" s="3">
        <v>2011</v>
      </c>
      <c r="V55" s="3">
        <f>AVERAGE(Q55,Q82,Q109,Q136)</f>
        <v>137.33333333333334</v>
      </c>
    </row>
    <row r="56" spans="1:22">
      <c r="A56" s="1" t="s">
        <v>21</v>
      </c>
      <c r="B56" s="1">
        <v>2011</v>
      </c>
      <c r="C56" s="22">
        <v>410401112134801</v>
      </c>
      <c r="D56" s="22">
        <v>410401112134801</v>
      </c>
      <c r="E56" s="8"/>
      <c r="F56" s="8">
        <v>40770.385416666664</v>
      </c>
      <c r="G56" s="9">
        <v>2920</v>
      </c>
      <c r="H56" s="8">
        <v>40735.03125</v>
      </c>
      <c r="I56" s="9">
        <v>9.5500000000000007</v>
      </c>
      <c r="J56" s="10"/>
      <c r="K56" s="10"/>
      <c r="L56" s="22"/>
      <c r="M56" s="12">
        <v>40735</v>
      </c>
      <c r="N56" s="9">
        <v>2920</v>
      </c>
      <c r="O56" s="14">
        <v>40735</v>
      </c>
      <c r="Q56" s="3">
        <f t="shared" si="0"/>
        <v>191</v>
      </c>
      <c r="R56" s="3">
        <v>176.75</v>
      </c>
      <c r="S56" s="3">
        <f t="shared" si="1"/>
        <v>14.25</v>
      </c>
    </row>
    <row r="57" spans="1:22">
      <c r="A57" s="1" t="s">
        <v>23</v>
      </c>
      <c r="B57" s="1">
        <v>2011</v>
      </c>
      <c r="C57" s="22">
        <v>10010000</v>
      </c>
      <c r="D57" s="1"/>
      <c r="E57" s="11"/>
      <c r="F57" s="11">
        <v>40720</v>
      </c>
      <c r="G57" s="9">
        <v>4198.53</v>
      </c>
      <c r="H57" s="1"/>
      <c r="I57" s="1"/>
      <c r="J57" s="8"/>
      <c r="K57" s="8"/>
      <c r="L57" s="8"/>
      <c r="M57" s="12">
        <v>40720</v>
      </c>
      <c r="N57" s="9">
        <v>4198.53</v>
      </c>
      <c r="O57" s="14">
        <v>40720</v>
      </c>
      <c r="Q57" s="3">
        <f t="shared" si="0"/>
        <v>176</v>
      </c>
      <c r="R57" s="3">
        <v>176.75</v>
      </c>
      <c r="S57" s="3">
        <f t="shared" si="1"/>
        <v>-0.75</v>
      </c>
    </row>
    <row r="58" spans="1:22">
      <c r="A58" s="1" t="s">
        <v>18</v>
      </c>
      <c r="B58" s="1">
        <v>2012</v>
      </c>
      <c r="C58" s="22">
        <v>10126000</v>
      </c>
      <c r="D58" s="22">
        <v>10126000</v>
      </c>
      <c r="E58" s="22">
        <v>10010060</v>
      </c>
      <c r="F58" s="8">
        <v>40931.40625</v>
      </c>
      <c r="G58" s="9">
        <v>10.88</v>
      </c>
      <c r="H58" s="8">
        <v>40931.40625</v>
      </c>
      <c r="I58" s="9">
        <v>3870</v>
      </c>
      <c r="J58" s="8">
        <v>40994.65625</v>
      </c>
      <c r="K58" s="9">
        <v>9.94</v>
      </c>
      <c r="L58" s="11"/>
      <c r="M58" s="30">
        <v>40994</v>
      </c>
      <c r="N58" s="9"/>
      <c r="O58" s="31">
        <v>40994</v>
      </c>
      <c r="P58" s="37" t="s">
        <v>34</v>
      </c>
      <c r="Q58" s="3">
        <f t="shared" si="0"/>
        <v>85</v>
      </c>
      <c r="R58" s="3">
        <v>92.5</v>
      </c>
      <c r="S58" s="3">
        <f t="shared" si="1"/>
        <v>-7.5</v>
      </c>
    </row>
    <row r="59" spans="1:22">
      <c r="A59" s="1" t="s">
        <v>20</v>
      </c>
      <c r="B59" s="1">
        <v>2012</v>
      </c>
      <c r="C59" s="22">
        <v>10010100</v>
      </c>
      <c r="D59" s="1"/>
      <c r="E59" s="11"/>
      <c r="F59" s="11">
        <v>41026</v>
      </c>
      <c r="G59" s="9">
        <v>4198.17</v>
      </c>
      <c r="H59" s="1"/>
      <c r="I59" s="1"/>
      <c r="J59" s="1"/>
      <c r="K59" s="1"/>
      <c r="L59" s="19"/>
      <c r="M59" s="12">
        <v>41026</v>
      </c>
      <c r="N59" s="9">
        <v>4198.17</v>
      </c>
      <c r="O59" s="14">
        <v>41026</v>
      </c>
      <c r="Q59" s="3">
        <f t="shared" si="0"/>
        <v>117</v>
      </c>
      <c r="R59" s="3">
        <v>92.5</v>
      </c>
      <c r="S59" s="3">
        <f t="shared" si="1"/>
        <v>24.5</v>
      </c>
      <c r="U59" s="3">
        <v>2012</v>
      </c>
      <c r="V59" s="3">
        <f>AVERAGE(Q59,Q86,Q113,Q140)</f>
        <v>117</v>
      </c>
    </row>
    <row r="60" spans="1:22">
      <c r="A60" s="1" t="s">
        <v>21</v>
      </c>
      <c r="B60" s="1">
        <v>2012</v>
      </c>
      <c r="C60" s="22">
        <v>410401112134801</v>
      </c>
      <c r="D60" s="22">
        <v>410401112134801</v>
      </c>
      <c r="E60" s="8"/>
      <c r="F60" s="8">
        <v>41106.083333333336</v>
      </c>
      <c r="G60" s="9">
        <v>2360</v>
      </c>
      <c r="H60" s="8">
        <v>41011.020833333336</v>
      </c>
      <c r="I60" s="9">
        <v>9.89</v>
      </c>
      <c r="J60" s="10"/>
      <c r="K60" s="10"/>
      <c r="L60" s="22"/>
      <c r="M60" s="12">
        <v>41011</v>
      </c>
      <c r="N60" s="9">
        <v>2360</v>
      </c>
      <c r="O60" s="14">
        <v>41011</v>
      </c>
      <c r="Q60" s="3">
        <f t="shared" si="0"/>
        <v>102</v>
      </c>
      <c r="R60" s="3">
        <v>92.5</v>
      </c>
      <c r="S60" s="3">
        <f t="shared" si="1"/>
        <v>9.5</v>
      </c>
    </row>
    <row r="61" spans="1:22">
      <c r="A61" s="1" t="s">
        <v>23</v>
      </c>
      <c r="B61" s="1">
        <v>2012</v>
      </c>
      <c r="C61" s="18">
        <v>10010000</v>
      </c>
      <c r="D61" s="1"/>
      <c r="E61" s="11"/>
      <c r="F61" s="12">
        <v>40975</v>
      </c>
      <c r="G61" s="13">
        <v>4198.95</v>
      </c>
      <c r="H61" s="1"/>
      <c r="I61" s="1"/>
      <c r="J61" s="8"/>
      <c r="K61" s="8"/>
      <c r="L61" s="8"/>
      <c r="M61" s="12">
        <v>40975</v>
      </c>
      <c r="N61" s="13">
        <v>4198.95</v>
      </c>
      <c r="O61" s="14">
        <v>40975</v>
      </c>
      <c r="Q61" s="3">
        <f t="shared" si="0"/>
        <v>66</v>
      </c>
      <c r="R61" s="3">
        <v>92.5</v>
      </c>
      <c r="S61" s="3">
        <f t="shared" si="1"/>
        <v>-26.5</v>
      </c>
    </row>
    <row r="62" spans="1:22">
      <c r="A62" s="1" t="s">
        <v>18</v>
      </c>
      <c r="B62" s="1">
        <v>2013</v>
      </c>
      <c r="C62" s="18">
        <v>10126000</v>
      </c>
      <c r="D62" s="22">
        <v>10126000</v>
      </c>
      <c r="E62" s="22">
        <v>10010060</v>
      </c>
      <c r="F62" s="28">
        <v>41352.864583333336</v>
      </c>
      <c r="G62" s="13">
        <v>7.78</v>
      </c>
      <c r="H62" s="8">
        <v>41352.822916666664</v>
      </c>
      <c r="I62" s="9">
        <v>2180</v>
      </c>
      <c r="J62" s="8">
        <v>41354.635416666664</v>
      </c>
      <c r="K62" s="9">
        <v>7.98</v>
      </c>
      <c r="L62" s="11"/>
      <c r="M62" s="12">
        <v>41352</v>
      </c>
      <c r="N62" s="13">
        <v>2180</v>
      </c>
      <c r="O62" s="14">
        <v>41352</v>
      </c>
      <c r="P62" s="37" t="s">
        <v>35</v>
      </c>
      <c r="Q62" s="3">
        <f t="shared" si="0"/>
        <v>77</v>
      </c>
      <c r="R62" s="3">
        <v>90.25</v>
      </c>
      <c r="S62" s="3">
        <f t="shared" si="1"/>
        <v>-13.25</v>
      </c>
    </row>
    <row r="63" spans="1:22">
      <c r="A63" s="1" t="s">
        <v>20</v>
      </c>
      <c r="B63" s="1">
        <v>2013</v>
      </c>
      <c r="C63" s="18">
        <v>10010100</v>
      </c>
      <c r="D63" s="1"/>
      <c r="E63" s="11"/>
      <c r="F63" s="12">
        <v>41372</v>
      </c>
      <c r="G63" s="13">
        <v>4196.6400000000003</v>
      </c>
      <c r="H63" s="1"/>
      <c r="I63" s="1"/>
      <c r="J63" s="1"/>
      <c r="K63" s="1"/>
      <c r="L63" s="26"/>
      <c r="M63" s="12">
        <v>41372</v>
      </c>
      <c r="N63" s="13">
        <v>4196.6400000000003</v>
      </c>
      <c r="O63" s="14">
        <v>41372</v>
      </c>
      <c r="Q63" s="3">
        <f t="shared" si="0"/>
        <v>97</v>
      </c>
      <c r="R63" s="3">
        <v>90.25</v>
      </c>
      <c r="S63" s="3">
        <f t="shared" si="1"/>
        <v>6.75</v>
      </c>
      <c r="U63" s="3">
        <v>2013</v>
      </c>
      <c r="V63" s="3">
        <f>AVERAGE(Q63,Q90,Q117,Q144)</f>
        <v>83.5</v>
      </c>
    </row>
    <row r="64" spans="1:22">
      <c r="A64" s="1" t="s">
        <v>21</v>
      </c>
      <c r="B64" s="1">
        <v>2013</v>
      </c>
      <c r="C64" s="18">
        <v>410401112134801</v>
      </c>
      <c r="D64" s="22">
        <v>410401112134801</v>
      </c>
      <c r="E64" s="8"/>
      <c r="F64" s="28">
        <v>41402.125</v>
      </c>
      <c r="G64" s="13">
        <v>1730</v>
      </c>
      <c r="H64" s="8">
        <v>41365.270833333336</v>
      </c>
      <c r="I64" s="9">
        <v>7.87</v>
      </c>
      <c r="J64" s="10"/>
      <c r="K64" s="10"/>
      <c r="L64" s="22"/>
      <c r="M64" s="12">
        <v>41365</v>
      </c>
      <c r="N64" s="13">
        <v>1730</v>
      </c>
      <c r="O64" s="14">
        <v>41365</v>
      </c>
      <c r="Q64" s="3">
        <f t="shared" si="0"/>
        <v>90</v>
      </c>
      <c r="R64" s="3">
        <v>90.25</v>
      </c>
      <c r="S64" s="3">
        <f t="shared" si="1"/>
        <v>-0.25</v>
      </c>
    </row>
    <row r="65" spans="1:23">
      <c r="A65" s="1" t="s">
        <v>23</v>
      </c>
      <c r="B65" s="1">
        <v>2013</v>
      </c>
      <c r="C65" s="18">
        <v>10010000</v>
      </c>
      <c r="D65" s="1"/>
      <c r="E65" s="11"/>
      <c r="F65" s="12">
        <v>41372</v>
      </c>
      <c r="G65" s="13">
        <v>4197.2</v>
      </c>
      <c r="H65" s="1"/>
      <c r="I65" s="1"/>
      <c r="J65" s="8"/>
      <c r="K65" s="8"/>
      <c r="L65" s="28"/>
      <c r="M65" s="12">
        <v>41372</v>
      </c>
      <c r="N65" s="13">
        <v>4197.2</v>
      </c>
      <c r="O65" s="14">
        <v>41372</v>
      </c>
      <c r="Q65" s="3">
        <f t="shared" si="0"/>
        <v>97</v>
      </c>
      <c r="R65" s="3">
        <v>90.25</v>
      </c>
      <c r="S65" s="3">
        <f t="shared" si="1"/>
        <v>6.75</v>
      </c>
    </row>
    <row r="66" spans="1:23">
      <c r="A66" s="1" t="s">
        <v>18</v>
      </c>
      <c r="B66" s="1">
        <v>2014</v>
      </c>
      <c r="C66" s="18">
        <v>10126000</v>
      </c>
      <c r="D66" s="18">
        <v>10126000</v>
      </c>
      <c r="E66" s="18">
        <v>10010060</v>
      </c>
      <c r="F66" s="28">
        <v>41702.65625</v>
      </c>
      <c r="G66" s="13">
        <v>8.18</v>
      </c>
      <c r="H66" s="28">
        <v>41702.65625</v>
      </c>
      <c r="I66" s="13">
        <v>2420</v>
      </c>
      <c r="J66" s="1"/>
      <c r="K66" s="42"/>
      <c r="L66" s="43"/>
      <c r="M66" s="12">
        <v>41702</v>
      </c>
      <c r="N66" s="13">
        <v>2420</v>
      </c>
      <c r="O66" s="14">
        <v>41702</v>
      </c>
      <c r="P66" s="44"/>
      <c r="Q66" s="3">
        <f t="shared" si="0"/>
        <v>62</v>
      </c>
      <c r="R66" s="3">
        <v>67.75</v>
      </c>
      <c r="S66" s="3">
        <f t="shared" si="1"/>
        <v>-5.75</v>
      </c>
    </row>
    <row r="67" spans="1:23">
      <c r="A67" s="1" t="s">
        <v>20</v>
      </c>
      <c r="B67" s="1">
        <v>2014</v>
      </c>
      <c r="C67" s="18">
        <v>10010100</v>
      </c>
      <c r="D67" s="6"/>
      <c r="E67" s="12"/>
      <c r="F67" s="12">
        <v>41715</v>
      </c>
      <c r="G67" s="13">
        <v>4194.97</v>
      </c>
      <c r="H67" s="6"/>
      <c r="I67" s="6"/>
      <c r="J67" s="45"/>
      <c r="K67" s="6"/>
      <c r="L67" s="34"/>
      <c r="M67" s="12">
        <v>41715</v>
      </c>
      <c r="N67" s="13">
        <v>4194.97</v>
      </c>
      <c r="O67" s="14">
        <v>41715</v>
      </c>
      <c r="Q67" s="3">
        <f t="shared" si="0"/>
        <v>75</v>
      </c>
      <c r="R67" s="3">
        <v>67.75</v>
      </c>
      <c r="S67" s="3">
        <f t="shared" si="1"/>
        <v>7.25</v>
      </c>
      <c r="U67" s="3">
        <v>2014</v>
      </c>
      <c r="V67" s="3">
        <f>AVERAGE(Q67,Q94,Q121,Q148)</f>
        <v>89</v>
      </c>
    </row>
    <row r="68" spans="1:23">
      <c r="A68" s="1" t="s">
        <v>21</v>
      </c>
      <c r="B68" s="1">
        <v>2014</v>
      </c>
      <c r="C68" s="18">
        <v>410401112134801</v>
      </c>
      <c r="D68" s="18">
        <v>410401112134801</v>
      </c>
      <c r="E68" s="28"/>
      <c r="F68" s="28">
        <v>41684.875</v>
      </c>
      <c r="G68" s="13">
        <v>1330</v>
      </c>
      <c r="H68" s="28">
        <v>41699.520833333336</v>
      </c>
      <c r="I68" s="13">
        <v>6.55</v>
      </c>
      <c r="J68" s="39"/>
      <c r="K68" s="39"/>
      <c r="L68" s="18"/>
      <c r="M68" s="12">
        <v>41699</v>
      </c>
      <c r="N68" s="13">
        <v>1330</v>
      </c>
      <c r="O68" s="14">
        <v>41699</v>
      </c>
      <c r="Q68" s="3">
        <f t="shared" si="0"/>
        <v>59</v>
      </c>
      <c r="R68" s="3">
        <v>67.75</v>
      </c>
      <c r="S68" s="3">
        <f t="shared" si="1"/>
        <v>-8.75</v>
      </c>
    </row>
    <row r="69" spans="1:23">
      <c r="A69" s="1" t="s">
        <v>23</v>
      </c>
      <c r="B69" s="1">
        <v>2014</v>
      </c>
      <c r="C69" s="18">
        <v>10010000</v>
      </c>
      <c r="D69" s="6"/>
      <c r="E69" s="12"/>
      <c r="F69" s="12">
        <v>41715</v>
      </c>
      <c r="G69" s="13">
        <v>4195.57</v>
      </c>
      <c r="H69" s="6"/>
      <c r="I69" s="6"/>
      <c r="J69" s="28"/>
      <c r="K69" s="28"/>
      <c r="L69" s="28"/>
      <c r="M69" s="12">
        <v>41715</v>
      </c>
      <c r="N69" s="13">
        <v>4195.57</v>
      </c>
      <c r="O69" s="14">
        <v>41715</v>
      </c>
      <c r="Q69" s="3">
        <f t="shared" si="0"/>
        <v>75</v>
      </c>
      <c r="R69" s="3">
        <v>67.75</v>
      </c>
      <c r="S69" s="3">
        <f t="shared" si="1"/>
        <v>7.25</v>
      </c>
    </row>
    <row r="70" spans="1:23">
      <c r="A70" s="1" t="s">
        <v>18</v>
      </c>
      <c r="B70" s="1">
        <v>2015</v>
      </c>
      <c r="C70" s="18">
        <v>10126000</v>
      </c>
      <c r="D70" s="18">
        <v>10126000</v>
      </c>
      <c r="E70" s="18">
        <v>10010060</v>
      </c>
      <c r="F70" s="28">
        <v>42154.270833333336</v>
      </c>
      <c r="G70" s="13">
        <v>9.0500000000000007</v>
      </c>
      <c r="H70" s="28">
        <v>42154.270833333336</v>
      </c>
      <c r="I70" s="13">
        <v>2780</v>
      </c>
      <c r="J70" s="6"/>
      <c r="K70" s="39"/>
      <c r="L70" s="12"/>
      <c r="M70" s="12">
        <v>42154</v>
      </c>
      <c r="N70" s="13">
        <v>2780</v>
      </c>
      <c r="O70" s="14">
        <v>42154</v>
      </c>
      <c r="P70" s="25"/>
      <c r="Q70" s="3">
        <f t="shared" si="0"/>
        <v>149</v>
      </c>
      <c r="R70" s="3">
        <v>116.25</v>
      </c>
      <c r="S70" s="3">
        <f t="shared" si="1"/>
        <v>32.75</v>
      </c>
      <c r="U70" s="25"/>
      <c r="V70" s="25"/>
      <c r="W70" s="25"/>
    </row>
    <row r="71" spans="1:23">
      <c r="A71" s="1" t="s">
        <v>20</v>
      </c>
      <c r="B71" s="1">
        <v>2015</v>
      </c>
      <c r="C71" s="18">
        <v>10010100</v>
      </c>
      <c r="D71" s="6"/>
      <c r="E71" s="12"/>
      <c r="F71" s="12">
        <v>42017</v>
      </c>
      <c r="G71" s="13">
        <v>4192.74</v>
      </c>
      <c r="H71" s="6"/>
      <c r="I71" s="6"/>
      <c r="J71" s="6"/>
      <c r="K71" s="6"/>
      <c r="L71" s="34"/>
      <c r="M71" s="12">
        <v>42017</v>
      </c>
      <c r="N71" s="13">
        <v>4192.74</v>
      </c>
      <c r="O71" s="14">
        <v>42017</v>
      </c>
      <c r="Q71" s="3">
        <f t="shared" si="0"/>
        <v>12</v>
      </c>
      <c r="R71" s="3">
        <v>116.25</v>
      </c>
      <c r="S71" s="3">
        <f t="shared" si="1"/>
        <v>-104.25</v>
      </c>
      <c r="U71" s="3">
        <v>2015</v>
      </c>
      <c r="V71" s="3">
        <f>AVERAGE(Q71,Q98,Q125,Q152)</f>
        <v>50.5</v>
      </c>
    </row>
    <row r="72" spans="1:23">
      <c r="A72" s="1" t="s">
        <v>21</v>
      </c>
      <c r="B72" s="1">
        <v>2015</v>
      </c>
      <c r="C72" s="18">
        <v>410401112134801</v>
      </c>
      <c r="D72" s="18">
        <v>410401112134801</v>
      </c>
      <c r="E72" s="28"/>
      <c r="F72" s="28">
        <v>42364.541666666664</v>
      </c>
      <c r="G72" s="13">
        <v>1440</v>
      </c>
      <c r="H72" s="28">
        <v>42156.989583333336</v>
      </c>
      <c r="I72" s="13">
        <v>5.77</v>
      </c>
      <c r="J72" s="39"/>
      <c r="K72" s="39"/>
      <c r="L72" s="18"/>
      <c r="M72" s="12">
        <v>42156</v>
      </c>
      <c r="N72" s="13">
        <v>1440</v>
      </c>
      <c r="O72" s="14">
        <v>42156</v>
      </c>
      <c r="P72" s="3" t="s">
        <v>33</v>
      </c>
      <c r="Q72" s="3">
        <f t="shared" si="0"/>
        <v>151</v>
      </c>
      <c r="R72" s="3">
        <v>116.25</v>
      </c>
      <c r="S72" s="3">
        <f t="shared" si="1"/>
        <v>34.75</v>
      </c>
    </row>
    <row r="73" spans="1:23">
      <c r="A73" s="1" t="s">
        <v>23</v>
      </c>
      <c r="B73" s="1">
        <v>2015</v>
      </c>
      <c r="C73" s="18">
        <v>10010000</v>
      </c>
      <c r="D73" s="6"/>
      <c r="E73" s="12"/>
      <c r="F73" s="12">
        <v>42158</v>
      </c>
      <c r="G73" s="13">
        <v>4194.43</v>
      </c>
      <c r="H73" s="6"/>
      <c r="I73" s="6"/>
      <c r="J73" s="28"/>
      <c r="K73" s="28"/>
      <c r="L73" s="28"/>
      <c r="M73" s="12">
        <v>42158</v>
      </c>
      <c r="N73" s="13">
        <v>4194.43</v>
      </c>
      <c r="O73" s="14">
        <v>42158</v>
      </c>
      <c r="Q73" s="3">
        <f t="shared" si="0"/>
        <v>153</v>
      </c>
      <c r="R73" s="3">
        <v>116.25</v>
      </c>
      <c r="S73" s="3">
        <f t="shared" si="1"/>
        <v>36.75</v>
      </c>
    </row>
    <row r="74" spans="1:23">
      <c r="A74" s="1" t="s">
        <v>18</v>
      </c>
      <c r="B74" s="1">
        <v>2016</v>
      </c>
      <c r="C74" s="18">
        <v>10126000</v>
      </c>
      <c r="D74" s="18">
        <v>10126000</v>
      </c>
      <c r="E74" s="18">
        <v>10010060</v>
      </c>
      <c r="F74" s="28">
        <v>42478.739583333336</v>
      </c>
      <c r="G74" s="13">
        <v>9.94</v>
      </c>
      <c r="H74" s="28">
        <v>42478.739583333336</v>
      </c>
      <c r="I74" s="13">
        <v>3480</v>
      </c>
      <c r="J74" s="6"/>
      <c r="K74" s="39"/>
      <c r="L74" s="12"/>
      <c r="M74" s="12">
        <v>42478</v>
      </c>
      <c r="N74" s="13">
        <v>3480</v>
      </c>
      <c r="O74" s="31">
        <v>42478</v>
      </c>
      <c r="P74" s="36"/>
      <c r="Q74" s="3">
        <f t="shared" si="0"/>
        <v>108</v>
      </c>
      <c r="R74" s="3">
        <v>106</v>
      </c>
      <c r="S74" s="3">
        <f t="shared" si="1"/>
        <v>2</v>
      </c>
      <c r="U74" s="25"/>
      <c r="V74" s="25"/>
      <c r="W74" s="25"/>
    </row>
    <row r="75" spans="1:23">
      <c r="A75" s="1" t="s">
        <v>20</v>
      </c>
      <c r="B75" s="1">
        <v>2016</v>
      </c>
      <c r="C75" s="18">
        <v>10010100</v>
      </c>
      <c r="D75" s="6"/>
      <c r="E75" s="12"/>
      <c r="F75" s="12">
        <v>42401</v>
      </c>
      <c r="G75" s="13">
        <v>4191.13</v>
      </c>
      <c r="H75" s="6"/>
      <c r="I75" s="6"/>
      <c r="J75" s="6"/>
      <c r="K75" s="6"/>
      <c r="L75" s="46"/>
      <c r="M75" s="12">
        <v>42401</v>
      </c>
      <c r="N75" s="13">
        <v>4191.13</v>
      </c>
      <c r="O75" s="14">
        <v>42401</v>
      </c>
      <c r="Q75" s="3">
        <f t="shared" si="0"/>
        <v>31</v>
      </c>
      <c r="R75" s="3">
        <v>106</v>
      </c>
      <c r="S75" s="3">
        <f t="shared" si="1"/>
        <v>-75</v>
      </c>
      <c r="U75" s="3">
        <v>2016</v>
      </c>
      <c r="V75" s="3">
        <f>AVERAGE(Q75,Q102,Q129,Q156)</f>
        <v>79</v>
      </c>
    </row>
    <row r="76" spans="1:23">
      <c r="A76" s="1" t="s">
        <v>21</v>
      </c>
      <c r="B76" s="1">
        <v>2016</v>
      </c>
      <c r="C76" s="18">
        <v>410401112134801</v>
      </c>
      <c r="D76" s="18">
        <v>410401112134801</v>
      </c>
      <c r="E76" s="28"/>
      <c r="F76" s="28">
        <v>42511.6875</v>
      </c>
      <c r="G76" s="13">
        <v>1380</v>
      </c>
      <c r="H76" s="28">
        <v>42520.145833333336</v>
      </c>
      <c r="I76" s="13">
        <v>5.57</v>
      </c>
      <c r="J76" s="39"/>
      <c r="K76" s="39"/>
      <c r="L76" s="18"/>
      <c r="M76" s="12">
        <v>42520</v>
      </c>
      <c r="N76" s="13">
        <v>1380</v>
      </c>
      <c r="O76" s="14">
        <v>42520</v>
      </c>
      <c r="Q76" s="3">
        <f t="shared" si="0"/>
        <v>150</v>
      </c>
      <c r="R76" s="3">
        <v>106</v>
      </c>
      <c r="S76" s="3">
        <f t="shared" si="1"/>
        <v>44</v>
      </c>
    </row>
    <row r="77" spans="1:23">
      <c r="A77" s="1" t="s">
        <v>23</v>
      </c>
      <c r="B77" s="1">
        <v>2016</v>
      </c>
      <c r="C77" s="18">
        <v>10010000</v>
      </c>
      <c r="D77" s="6"/>
      <c r="E77" s="12"/>
      <c r="F77" s="12">
        <v>42505</v>
      </c>
      <c r="G77" s="13">
        <v>4194.3599999999997</v>
      </c>
      <c r="H77" s="6"/>
      <c r="I77" s="6"/>
      <c r="J77" s="28"/>
      <c r="K77" s="28"/>
      <c r="L77" s="28"/>
      <c r="M77" s="12">
        <v>42505</v>
      </c>
      <c r="N77" s="13">
        <v>4194.3599999999997</v>
      </c>
      <c r="O77" s="31">
        <v>42508</v>
      </c>
      <c r="P77" s="3" t="s">
        <v>36</v>
      </c>
      <c r="Q77" s="3">
        <f t="shared" si="0"/>
        <v>138</v>
      </c>
      <c r="R77" s="3">
        <v>106</v>
      </c>
      <c r="S77" s="3">
        <f t="shared" si="1"/>
        <v>32</v>
      </c>
    </row>
    <row r="78" spans="1:23">
      <c r="A78" s="1" t="s">
        <v>18</v>
      </c>
      <c r="B78" s="1">
        <v>2017</v>
      </c>
      <c r="C78" s="18">
        <v>10126000</v>
      </c>
      <c r="D78" s="18">
        <v>10126000</v>
      </c>
      <c r="E78" s="18">
        <v>10010060</v>
      </c>
      <c r="F78" s="28">
        <v>42780.65625</v>
      </c>
      <c r="G78" s="13">
        <v>16.12</v>
      </c>
      <c r="H78" s="28">
        <v>42780.65625</v>
      </c>
      <c r="I78" s="13">
        <v>9780</v>
      </c>
      <c r="J78" s="6"/>
      <c r="K78" s="39"/>
      <c r="L78" s="12"/>
      <c r="M78" s="12">
        <v>42780</v>
      </c>
      <c r="N78" s="13">
        <v>9780</v>
      </c>
      <c r="O78" s="14">
        <v>42780</v>
      </c>
      <c r="P78" s="37" t="s">
        <v>37</v>
      </c>
      <c r="Q78" s="3">
        <f t="shared" si="0"/>
        <v>44</v>
      </c>
      <c r="R78" s="3">
        <v>109.25</v>
      </c>
      <c r="S78" s="3">
        <f t="shared" si="1"/>
        <v>-65.25</v>
      </c>
      <c r="U78" s="25"/>
      <c r="V78" s="25"/>
      <c r="W78" s="25"/>
    </row>
    <row r="79" spans="1:23">
      <c r="A79" s="1" t="s">
        <v>20</v>
      </c>
      <c r="B79" s="1">
        <v>2017</v>
      </c>
      <c r="C79" s="18">
        <v>10010100</v>
      </c>
      <c r="D79" s="6"/>
      <c r="E79" s="12"/>
      <c r="F79" s="12">
        <v>42881</v>
      </c>
      <c r="G79" s="13">
        <v>4194.5</v>
      </c>
      <c r="H79" s="6"/>
      <c r="I79" s="6"/>
      <c r="J79" s="6"/>
      <c r="K79" s="6"/>
      <c r="L79" s="34"/>
      <c r="M79" s="12">
        <v>42881</v>
      </c>
      <c r="N79" s="13">
        <v>4194.5</v>
      </c>
      <c r="O79" s="14">
        <v>42881</v>
      </c>
      <c r="Q79" s="3">
        <f t="shared" si="0"/>
        <v>145</v>
      </c>
      <c r="R79" s="3">
        <v>109.25</v>
      </c>
      <c r="S79" s="3">
        <f t="shared" si="1"/>
        <v>35.75</v>
      </c>
      <c r="U79" s="3">
        <v>2017</v>
      </c>
      <c r="V79" s="3">
        <f>AVERAGE(Q79,Q106,Q133,Q160)</f>
        <v>133</v>
      </c>
    </row>
    <row r="80" spans="1:23">
      <c r="A80" s="1" t="s">
        <v>21</v>
      </c>
      <c r="B80" s="1">
        <v>2017</v>
      </c>
      <c r="C80" s="18">
        <v>410401112134801</v>
      </c>
      <c r="D80" s="18">
        <v>410401112134801</v>
      </c>
      <c r="E80" s="28"/>
      <c r="F80" s="28">
        <v>42862.03125</v>
      </c>
      <c r="G80" s="13">
        <v>2220</v>
      </c>
      <c r="H80" s="28">
        <v>42868.145833333336</v>
      </c>
      <c r="I80" s="13">
        <v>6.58</v>
      </c>
      <c r="J80" s="39"/>
      <c r="K80" s="39"/>
      <c r="L80" s="18"/>
      <c r="M80" s="12">
        <v>42868</v>
      </c>
      <c r="N80" s="13">
        <v>2220</v>
      </c>
      <c r="O80" s="14">
        <v>42868</v>
      </c>
      <c r="Q80" s="3">
        <f t="shared" si="0"/>
        <v>132</v>
      </c>
      <c r="R80" s="3">
        <v>109.25</v>
      </c>
      <c r="S80" s="3">
        <f t="shared" si="1"/>
        <v>22.75</v>
      </c>
    </row>
    <row r="81" spans="1:23">
      <c r="A81" s="1" t="s">
        <v>23</v>
      </c>
      <c r="B81" s="1">
        <v>2017</v>
      </c>
      <c r="C81" s="18">
        <v>10010000</v>
      </c>
      <c r="D81" s="6"/>
      <c r="E81" s="12"/>
      <c r="F81" s="12">
        <v>42852</v>
      </c>
      <c r="G81" s="13">
        <v>4195.5</v>
      </c>
      <c r="H81" s="6"/>
      <c r="I81" s="6"/>
      <c r="J81" s="28"/>
      <c r="K81" s="28"/>
      <c r="L81" s="28"/>
      <c r="M81" s="12">
        <v>42852</v>
      </c>
      <c r="N81" s="13">
        <v>4195.5</v>
      </c>
      <c r="O81" s="14">
        <v>42852</v>
      </c>
      <c r="Q81" s="3">
        <f t="shared" si="0"/>
        <v>116</v>
      </c>
      <c r="R81" s="3">
        <v>109.25</v>
      </c>
      <c r="S81" s="3">
        <f t="shared" si="1"/>
        <v>6.75</v>
      </c>
    </row>
    <row r="82" spans="1:23">
      <c r="A82" s="1" t="s">
        <v>18</v>
      </c>
      <c r="B82" s="1">
        <v>2018</v>
      </c>
      <c r="C82" s="18">
        <v>10126000</v>
      </c>
      <c r="D82" s="18">
        <v>10126000</v>
      </c>
      <c r="E82" s="18">
        <v>10010060</v>
      </c>
      <c r="F82" s="28">
        <v>43186.947916666664</v>
      </c>
      <c r="G82" s="13">
        <v>9.8699999999999992</v>
      </c>
      <c r="H82" s="28">
        <v>43186.947916666664</v>
      </c>
      <c r="I82" s="13">
        <v>3390</v>
      </c>
      <c r="J82" s="6"/>
      <c r="K82" s="39"/>
      <c r="L82" s="12"/>
      <c r="M82" s="12">
        <v>43186</v>
      </c>
      <c r="N82" s="13">
        <v>3390</v>
      </c>
      <c r="O82" s="14">
        <v>43186</v>
      </c>
      <c r="P82" s="25"/>
      <c r="Q82" s="3">
        <f t="shared" si="0"/>
        <v>85</v>
      </c>
      <c r="R82" s="3">
        <v>98</v>
      </c>
      <c r="S82" s="3">
        <f t="shared" si="1"/>
        <v>-13</v>
      </c>
      <c r="U82" s="25"/>
      <c r="V82" s="25"/>
      <c r="W82" s="25"/>
    </row>
    <row r="83" spans="1:23">
      <c r="A83" s="1" t="s">
        <v>20</v>
      </c>
      <c r="B83" s="1">
        <v>2018</v>
      </c>
      <c r="C83" s="22">
        <v>10010100</v>
      </c>
      <c r="D83" s="6"/>
      <c r="E83" s="11"/>
      <c r="F83" s="11">
        <v>43202</v>
      </c>
      <c r="G83" s="9">
        <v>4194.7</v>
      </c>
      <c r="H83" s="6"/>
      <c r="I83" s="6"/>
      <c r="J83" s="6"/>
      <c r="K83" s="6"/>
      <c r="L83" s="34"/>
      <c r="M83" s="12">
        <v>43202</v>
      </c>
      <c r="N83" s="13">
        <v>4194.7</v>
      </c>
      <c r="O83" s="14">
        <v>43202</v>
      </c>
      <c r="P83" s="29"/>
      <c r="Q83" s="3">
        <f t="shared" si="0"/>
        <v>101</v>
      </c>
      <c r="R83" s="3">
        <v>98</v>
      </c>
      <c r="S83" s="3">
        <f t="shared" si="1"/>
        <v>3</v>
      </c>
      <c r="U83" s="3">
        <v>2018</v>
      </c>
      <c r="V83" s="3">
        <f>AVERAGE(Q83,Q110,Q137,Q164)</f>
        <v>101</v>
      </c>
    </row>
    <row r="84" spans="1:23">
      <c r="A84" s="1" t="s">
        <v>21</v>
      </c>
      <c r="B84" s="1">
        <v>2018</v>
      </c>
      <c r="C84" s="22">
        <v>410401112134801</v>
      </c>
      <c r="D84" s="18">
        <v>410401112134801</v>
      </c>
      <c r="E84" s="8"/>
      <c r="F84" s="8">
        <v>43240.9375</v>
      </c>
      <c r="G84" s="9">
        <v>1680</v>
      </c>
      <c r="H84" s="28">
        <v>43206.864583333336</v>
      </c>
      <c r="I84" s="13">
        <v>6.14</v>
      </c>
      <c r="J84" s="39"/>
      <c r="K84" s="39"/>
      <c r="L84" s="18"/>
      <c r="M84" s="12">
        <v>43206</v>
      </c>
      <c r="N84" s="13">
        <v>1680</v>
      </c>
      <c r="O84" s="14">
        <v>43206</v>
      </c>
      <c r="P84" s="47"/>
      <c r="Q84" s="3">
        <f t="shared" si="0"/>
        <v>105</v>
      </c>
      <c r="R84" s="3">
        <v>98</v>
      </c>
      <c r="S84" s="3">
        <f t="shared" si="1"/>
        <v>7</v>
      </c>
    </row>
    <row r="85" spans="1:23">
      <c r="A85" s="1" t="s">
        <v>23</v>
      </c>
      <c r="B85" s="1">
        <v>2018</v>
      </c>
      <c r="C85" s="22">
        <v>10010000</v>
      </c>
      <c r="D85" s="6"/>
      <c r="E85" s="11"/>
      <c r="F85" s="11">
        <v>43202</v>
      </c>
      <c r="G85" s="9">
        <v>4195.2</v>
      </c>
      <c r="H85" s="6"/>
      <c r="I85" s="6"/>
      <c r="J85" s="8"/>
      <c r="K85" s="28"/>
      <c r="L85" s="28"/>
      <c r="M85" s="12">
        <v>43202</v>
      </c>
      <c r="N85" s="13">
        <v>4195.2</v>
      </c>
      <c r="O85" s="14">
        <v>43202</v>
      </c>
      <c r="Q85" s="3">
        <f t="shared" si="0"/>
        <v>101</v>
      </c>
      <c r="R85" s="3">
        <v>98</v>
      </c>
      <c r="S85" s="3">
        <f t="shared" si="1"/>
        <v>3</v>
      </c>
    </row>
    <row r="86" spans="1:23">
      <c r="A86" s="1" t="s">
        <v>18</v>
      </c>
      <c r="B86" s="1">
        <v>2019</v>
      </c>
      <c r="C86" s="22">
        <v>10126000</v>
      </c>
      <c r="D86" s="18">
        <v>10126000</v>
      </c>
      <c r="E86" s="22">
        <v>10010060</v>
      </c>
      <c r="F86" s="8">
        <v>43583.572916666664</v>
      </c>
      <c r="G86" s="9">
        <v>11.34</v>
      </c>
      <c r="H86" s="28">
        <v>43583.572916666664</v>
      </c>
      <c r="I86" s="13">
        <v>4390</v>
      </c>
      <c r="J86" s="1"/>
      <c r="K86" s="39"/>
      <c r="L86" s="12"/>
      <c r="M86" s="12">
        <v>43583</v>
      </c>
      <c r="N86" s="13">
        <v>4390</v>
      </c>
      <c r="O86" s="14">
        <v>43583</v>
      </c>
      <c r="P86" s="48"/>
      <c r="Q86" s="3">
        <f t="shared" si="0"/>
        <v>117</v>
      </c>
      <c r="R86" s="3">
        <v>145.25</v>
      </c>
      <c r="S86" s="3">
        <f t="shared" si="1"/>
        <v>-28.25</v>
      </c>
      <c r="U86" s="25"/>
      <c r="V86" s="25"/>
      <c r="W86" s="25"/>
    </row>
    <row r="87" spans="1:23">
      <c r="A87" s="1" t="s">
        <v>20</v>
      </c>
      <c r="B87" s="1">
        <v>2019</v>
      </c>
      <c r="C87" s="22">
        <v>10010100</v>
      </c>
      <c r="D87" s="18">
        <v>10010027</v>
      </c>
      <c r="E87" s="11"/>
      <c r="F87" s="11">
        <v>43623</v>
      </c>
      <c r="G87" s="9">
        <v>4194.2</v>
      </c>
      <c r="H87" s="12">
        <v>43623</v>
      </c>
      <c r="I87" s="13">
        <v>4194.2</v>
      </c>
      <c r="J87" s="1"/>
      <c r="K87" s="6"/>
      <c r="L87" s="34"/>
      <c r="M87" s="12">
        <v>43623</v>
      </c>
      <c r="N87" s="13">
        <v>4194.2</v>
      </c>
      <c r="O87" s="14">
        <v>43623</v>
      </c>
      <c r="P87" s="29"/>
      <c r="Q87" s="3">
        <f t="shared" si="0"/>
        <v>157</v>
      </c>
      <c r="R87" s="3">
        <v>145.25</v>
      </c>
      <c r="S87" s="3">
        <f t="shared" si="1"/>
        <v>11.75</v>
      </c>
      <c r="U87" s="3">
        <v>2019</v>
      </c>
      <c r="V87" s="3">
        <f>AVERAGE(Q87,Q114,Q141,Q168)</f>
        <v>157</v>
      </c>
    </row>
    <row r="88" spans="1:23">
      <c r="A88" s="1" t="s">
        <v>21</v>
      </c>
      <c r="B88" s="1">
        <v>2019</v>
      </c>
      <c r="C88" s="22">
        <v>410401112134801</v>
      </c>
      <c r="D88" s="18">
        <v>410401112134801</v>
      </c>
      <c r="E88" s="8"/>
      <c r="F88" s="8">
        <v>43616.25</v>
      </c>
      <c r="G88" s="9">
        <v>1960</v>
      </c>
      <c r="H88" s="28">
        <v>43616.333333333336</v>
      </c>
      <c r="I88" s="13">
        <v>6.3</v>
      </c>
      <c r="J88" s="10"/>
      <c r="K88" s="39"/>
      <c r="L88" s="18"/>
      <c r="M88" s="12">
        <v>43616</v>
      </c>
      <c r="N88" s="13">
        <v>1960</v>
      </c>
      <c r="O88" s="14">
        <v>43616</v>
      </c>
      <c r="P88" s="29"/>
      <c r="Q88" s="3">
        <f t="shared" si="0"/>
        <v>150</v>
      </c>
      <c r="R88" s="3">
        <v>145.25</v>
      </c>
      <c r="S88" s="3">
        <f t="shared" si="1"/>
        <v>4.75</v>
      </c>
    </row>
    <row r="89" spans="1:23">
      <c r="A89" s="1" t="s">
        <v>23</v>
      </c>
      <c r="B89" s="1">
        <v>2019</v>
      </c>
      <c r="C89" s="22">
        <v>10010000</v>
      </c>
      <c r="D89" s="18">
        <v>10010024</v>
      </c>
      <c r="E89" s="11"/>
      <c r="F89" s="11">
        <v>43623</v>
      </c>
      <c r="G89" s="9">
        <v>4195.1000000000004</v>
      </c>
      <c r="H89" s="12">
        <v>43622</v>
      </c>
      <c r="I89" s="13">
        <v>4195</v>
      </c>
      <c r="J89" s="8"/>
      <c r="K89" s="8"/>
      <c r="L89" s="28"/>
      <c r="M89" s="12">
        <v>43623</v>
      </c>
      <c r="N89" s="13">
        <v>4195.1000000000004</v>
      </c>
      <c r="O89" s="14">
        <v>43623</v>
      </c>
      <c r="P89" s="29" t="s">
        <v>38</v>
      </c>
      <c r="Q89" s="3">
        <f t="shared" si="0"/>
        <v>157</v>
      </c>
      <c r="R89" s="3">
        <v>145.25</v>
      </c>
      <c r="S89" s="3">
        <f t="shared" si="1"/>
        <v>11.75</v>
      </c>
    </row>
    <row r="90" spans="1:23">
      <c r="A90" s="1" t="s">
        <v>18</v>
      </c>
      <c r="B90" s="1">
        <v>2020</v>
      </c>
      <c r="C90" s="22">
        <v>10126000</v>
      </c>
      <c r="D90" s="18">
        <v>10126000</v>
      </c>
      <c r="E90" s="22">
        <v>10010060</v>
      </c>
      <c r="F90" s="8">
        <v>43901.875</v>
      </c>
      <c r="G90" s="9">
        <v>9.8000000000000007</v>
      </c>
      <c r="H90" s="28">
        <v>43901.875</v>
      </c>
      <c r="I90" s="13">
        <v>3350</v>
      </c>
      <c r="J90" s="1"/>
      <c r="K90" s="10"/>
      <c r="L90" s="12"/>
      <c r="M90" s="12">
        <v>43901</v>
      </c>
      <c r="N90" s="13">
        <v>3350</v>
      </c>
      <c r="O90" s="14">
        <v>43901</v>
      </c>
      <c r="P90" s="48"/>
      <c r="Q90" s="3">
        <f t="shared" si="0"/>
        <v>70</v>
      </c>
      <c r="R90" s="3">
        <v>89.75</v>
      </c>
      <c r="S90" s="3">
        <f t="shared" si="1"/>
        <v>-19.75</v>
      </c>
      <c r="U90" s="25"/>
      <c r="V90" s="25"/>
      <c r="W90" s="25"/>
    </row>
    <row r="91" spans="1:23">
      <c r="A91" s="1" t="s">
        <v>20</v>
      </c>
      <c r="B91" s="1">
        <v>2020</v>
      </c>
      <c r="C91" s="22">
        <v>10010100</v>
      </c>
      <c r="D91" s="18">
        <v>10010027</v>
      </c>
      <c r="E91" s="11"/>
      <c r="F91" s="11">
        <v>43922</v>
      </c>
      <c r="G91" s="9">
        <v>4194.3</v>
      </c>
      <c r="H91" s="12">
        <v>43922</v>
      </c>
      <c r="I91" s="13">
        <v>4194.3</v>
      </c>
      <c r="J91" s="1"/>
      <c r="K91" s="1"/>
      <c r="L91" s="34"/>
      <c r="M91" s="12">
        <v>43922</v>
      </c>
      <c r="N91" s="13">
        <v>4194.3</v>
      </c>
      <c r="O91" s="14">
        <v>43922</v>
      </c>
      <c r="P91" s="29"/>
      <c r="Q91" s="3">
        <f t="shared" si="0"/>
        <v>91</v>
      </c>
      <c r="R91" s="3">
        <v>89.75</v>
      </c>
      <c r="S91" s="3">
        <f t="shared" si="1"/>
        <v>1.25</v>
      </c>
      <c r="U91" s="3">
        <v>2020</v>
      </c>
      <c r="V91" s="3">
        <f>AVERAGE(Q91,Q118,Q145,Q172)</f>
        <v>91</v>
      </c>
    </row>
    <row r="92" spans="1:23">
      <c r="A92" s="1" t="s">
        <v>21</v>
      </c>
      <c r="B92" s="1">
        <v>2020</v>
      </c>
      <c r="C92" s="22">
        <v>410401112134801</v>
      </c>
      <c r="D92" s="18">
        <v>410401112134801</v>
      </c>
      <c r="E92" s="8"/>
      <c r="F92" s="8">
        <v>43904.885416666664</v>
      </c>
      <c r="G92" s="9">
        <v>1720</v>
      </c>
      <c r="H92" s="28">
        <v>43927.354166666664</v>
      </c>
      <c r="I92" s="13">
        <v>6</v>
      </c>
      <c r="J92" s="10"/>
      <c r="K92" s="10"/>
      <c r="L92" s="18"/>
      <c r="M92" s="12">
        <v>43927</v>
      </c>
      <c r="N92" s="13">
        <v>1720</v>
      </c>
      <c r="O92" s="14">
        <v>43927</v>
      </c>
      <c r="P92" s="29"/>
      <c r="Q92" s="3">
        <f t="shared" si="0"/>
        <v>96</v>
      </c>
      <c r="R92" s="3">
        <v>89.75</v>
      </c>
      <c r="S92" s="3">
        <f t="shared" si="1"/>
        <v>6.25</v>
      </c>
    </row>
    <row r="93" spans="1:23">
      <c r="A93" s="1" t="s">
        <v>23</v>
      </c>
      <c r="B93" s="2">
        <v>2020</v>
      </c>
      <c r="C93" s="40">
        <v>10010000</v>
      </c>
      <c r="D93" s="40">
        <v>10010024</v>
      </c>
      <c r="E93" s="14"/>
      <c r="F93" s="14">
        <v>43933</v>
      </c>
      <c r="G93" s="39">
        <v>4194.8999999999996</v>
      </c>
      <c r="H93" s="14">
        <v>43904</v>
      </c>
      <c r="I93" s="39">
        <v>4194.8</v>
      </c>
      <c r="J93" s="49"/>
      <c r="K93" s="49"/>
      <c r="L93" s="28"/>
      <c r="M93" s="12">
        <v>43933</v>
      </c>
      <c r="N93" s="13">
        <v>4194.8999999999996</v>
      </c>
      <c r="O93" s="14">
        <v>43933</v>
      </c>
      <c r="P93" s="29" t="s">
        <v>38</v>
      </c>
      <c r="Q93" s="3">
        <f t="shared" si="0"/>
        <v>102</v>
      </c>
      <c r="R93" s="3">
        <v>89.75</v>
      </c>
      <c r="S93" s="3">
        <f t="shared" si="1"/>
        <v>12.25</v>
      </c>
    </row>
    <row r="94" spans="1:23">
      <c r="A94" s="1" t="s">
        <v>18</v>
      </c>
      <c r="B94" s="1">
        <v>2021</v>
      </c>
      <c r="C94" s="18">
        <v>10126000</v>
      </c>
      <c r="D94" s="18">
        <v>10126000</v>
      </c>
      <c r="E94" s="18">
        <v>10010060</v>
      </c>
      <c r="F94" s="28">
        <v>44300.354166666664</v>
      </c>
      <c r="G94" s="13">
        <v>6.95</v>
      </c>
      <c r="H94" s="28">
        <v>44300.354166666664</v>
      </c>
      <c r="I94" s="13">
        <v>1810</v>
      </c>
      <c r="J94" s="6"/>
      <c r="K94" s="39"/>
      <c r="L94" s="12"/>
      <c r="M94" s="12">
        <v>44300</v>
      </c>
      <c r="N94" s="13">
        <v>1810</v>
      </c>
      <c r="O94" s="14">
        <v>44300</v>
      </c>
      <c r="P94" s="48"/>
      <c r="Q94" s="3">
        <f t="shared" si="0"/>
        <v>103</v>
      </c>
      <c r="R94" s="3">
        <v>99.5</v>
      </c>
      <c r="S94" s="3">
        <f t="shared" si="1"/>
        <v>3.5</v>
      </c>
      <c r="U94" s="25"/>
      <c r="V94" s="25"/>
      <c r="W94" s="25"/>
    </row>
    <row r="95" spans="1:23">
      <c r="A95" s="1" t="s">
        <v>20</v>
      </c>
      <c r="B95" s="1">
        <v>2021</v>
      </c>
      <c r="C95" s="18">
        <v>10010100</v>
      </c>
      <c r="D95" s="18">
        <v>10010027</v>
      </c>
      <c r="E95" s="12"/>
      <c r="F95" s="12">
        <v>44278</v>
      </c>
      <c r="G95" s="13">
        <v>4192.3999999999996</v>
      </c>
      <c r="H95" s="12">
        <v>44278</v>
      </c>
      <c r="I95" s="13">
        <v>4192.3999999999996</v>
      </c>
      <c r="J95" s="6"/>
      <c r="K95" s="6"/>
      <c r="L95" s="34"/>
      <c r="M95" s="12">
        <v>44278</v>
      </c>
      <c r="N95" s="13">
        <v>4192.3999999999996</v>
      </c>
      <c r="O95" s="14">
        <v>44278</v>
      </c>
      <c r="P95" s="29"/>
      <c r="Q95" s="3">
        <f t="shared" si="0"/>
        <v>81</v>
      </c>
      <c r="R95" s="3">
        <v>99.5</v>
      </c>
      <c r="S95" s="3">
        <f t="shared" si="1"/>
        <v>-18.5</v>
      </c>
      <c r="U95" s="3">
        <v>2021</v>
      </c>
      <c r="V95" s="3">
        <f>AVERAGE(Q95,Q122,Q149,Q176)</f>
        <v>81</v>
      </c>
    </row>
    <row r="96" spans="1:23">
      <c r="A96" s="1" t="s">
        <v>21</v>
      </c>
      <c r="B96" s="1">
        <v>2021</v>
      </c>
      <c r="C96" s="18">
        <v>410401112134801</v>
      </c>
      <c r="D96" s="18">
        <v>410401112134801</v>
      </c>
      <c r="E96" s="28"/>
      <c r="F96" s="28">
        <v>44246.625</v>
      </c>
      <c r="G96" s="13">
        <v>885</v>
      </c>
      <c r="H96" s="28">
        <v>44324.010416666664</v>
      </c>
      <c r="I96" s="13">
        <v>4.71</v>
      </c>
      <c r="J96" s="39"/>
      <c r="K96" s="39"/>
      <c r="L96" s="18"/>
      <c r="M96" s="12">
        <v>44324</v>
      </c>
      <c r="N96" s="13">
        <v>885</v>
      </c>
      <c r="O96" s="14">
        <v>44324</v>
      </c>
      <c r="P96" s="29" t="s">
        <v>39</v>
      </c>
      <c r="Q96" s="3">
        <f t="shared" si="0"/>
        <v>127</v>
      </c>
      <c r="R96" s="3">
        <v>99.5</v>
      </c>
      <c r="S96" s="3">
        <f t="shared" si="1"/>
        <v>27.5</v>
      </c>
    </row>
    <row r="97" spans="1:23">
      <c r="A97" s="1" t="s">
        <v>23</v>
      </c>
      <c r="B97" s="2">
        <v>2021</v>
      </c>
      <c r="C97" s="40">
        <v>10010000</v>
      </c>
      <c r="D97" s="40">
        <v>10010024</v>
      </c>
      <c r="E97" s="14"/>
      <c r="F97" s="14">
        <v>44284</v>
      </c>
      <c r="G97" s="50">
        <v>4193</v>
      </c>
      <c r="H97" s="14">
        <v>44256</v>
      </c>
      <c r="I97" s="39">
        <v>4192.8999999999996</v>
      </c>
      <c r="J97" s="41"/>
      <c r="K97" s="41"/>
      <c r="L97" s="28"/>
      <c r="M97" s="12">
        <v>44284</v>
      </c>
      <c r="N97" s="51">
        <v>4193</v>
      </c>
      <c r="O97" s="14">
        <v>44284</v>
      </c>
      <c r="P97" s="29" t="s">
        <v>38</v>
      </c>
      <c r="Q97" s="3">
        <f t="shared" si="0"/>
        <v>87</v>
      </c>
      <c r="R97" s="3">
        <v>99.5</v>
      </c>
      <c r="S97" s="3">
        <f t="shared" si="1"/>
        <v>-12.5</v>
      </c>
    </row>
    <row r="98" spans="1:23">
      <c r="A98" s="1" t="s">
        <v>18</v>
      </c>
      <c r="B98" s="1">
        <v>2022</v>
      </c>
      <c r="C98" s="18">
        <v>10126000</v>
      </c>
      <c r="D98" s="18">
        <v>10126000</v>
      </c>
      <c r="E98" s="18">
        <v>10010060</v>
      </c>
      <c r="F98" s="28">
        <v>44651.541666666664</v>
      </c>
      <c r="G98" s="13">
        <v>7.51</v>
      </c>
      <c r="H98" s="28">
        <v>44651.541666666664</v>
      </c>
      <c r="I98" s="13">
        <v>2200</v>
      </c>
      <c r="J98" s="6"/>
      <c r="K98" s="39"/>
      <c r="L98" s="12"/>
      <c r="M98" s="12">
        <v>44651</v>
      </c>
      <c r="N98" s="13">
        <v>2200</v>
      </c>
      <c r="O98" s="31">
        <v>44651</v>
      </c>
      <c r="P98" s="48"/>
      <c r="Q98" s="3">
        <f t="shared" si="0"/>
        <v>89</v>
      </c>
      <c r="R98" s="3">
        <v>111.5</v>
      </c>
      <c r="S98" s="3">
        <f t="shared" si="1"/>
        <v>-22.5</v>
      </c>
      <c r="U98" s="25"/>
      <c r="V98" s="25"/>
      <c r="W98" s="25"/>
    </row>
    <row r="99" spans="1:23">
      <c r="A99" s="1" t="s">
        <v>20</v>
      </c>
      <c r="B99" s="1">
        <v>2022</v>
      </c>
      <c r="C99" s="18">
        <v>10010100</v>
      </c>
      <c r="D99" s="18">
        <v>10010027</v>
      </c>
      <c r="E99" s="12"/>
      <c r="F99" s="12">
        <v>44656</v>
      </c>
      <c r="G99" s="13">
        <v>4191</v>
      </c>
      <c r="H99" s="12">
        <v>44656</v>
      </c>
      <c r="I99" s="13">
        <v>4190.8</v>
      </c>
      <c r="J99" s="1"/>
      <c r="K99" s="6"/>
      <c r="L99" s="34"/>
      <c r="M99" s="12">
        <v>44656</v>
      </c>
      <c r="N99" s="13">
        <v>4191</v>
      </c>
      <c r="O99" s="14">
        <v>44656</v>
      </c>
      <c r="P99" s="29"/>
      <c r="Q99" s="3">
        <f t="shared" si="0"/>
        <v>94</v>
      </c>
      <c r="R99" s="3">
        <v>111.5</v>
      </c>
      <c r="S99" s="3">
        <f t="shared" si="1"/>
        <v>-17.5</v>
      </c>
      <c r="U99" s="3">
        <v>2022</v>
      </c>
      <c r="V99" s="3">
        <f>AVERAGE(Q99,Q126,Q153,Q180)</f>
        <v>94</v>
      </c>
    </row>
    <row r="100" spans="1:23">
      <c r="A100" s="1" t="s">
        <v>21</v>
      </c>
      <c r="B100" s="1">
        <v>2022</v>
      </c>
      <c r="C100" s="18">
        <v>410401112134801</v>
      </c>
      <c r="D100" s="18">
        <v>410401112134801</v>
      </c>
      <c r="E100" s="28"/>
      <c r="F100" s="28">
        <v>44927.208333333336</v>
      </c>
      <c r="G100" s="13">
        <v>851</v>
      </c>
      <c r="H100" s="30">
        <v>44721</v>
      </c>
      <c r="I100" s="51">
        <v>3.46</v>
      </c>
      <c r="J100" s="10"/>
      <c r="K100" s="39"/>
      <c r="L100" s="18"/>
      <c r="M100" s="30">
        <v>44731</v>
      </c>
      <c r="N100" s="13"/>
      <c r="O100" s="31">
        <v>44731</v>
      </c>
      <c r="P100" s="29"/>
      <c r="Q100" s="3">
        <f t="shared" si="0"/>
        <v>169</v>
      </c>
      <c r="R100" s="3">
        <v>111.5</v>
      </c>
      <c r="S100" s="3">
        <f t="shared" si="1"/>
        <v>57.5</v>
      </c>
    </row>
    <row r="101" spans="1:23">
      <c r="A101" s="1" t="s">
        <v>23</v>
      </c>
      <c r="B101" s="2">
        <v>2022</v>
      </c>
      <c r="C101" s="40">
        <v>10010000</v>
      </c>
      <c r="D101" s="40">
        <v>10010024</v>
      </c>
      <c r="E101" s="14"/>
      <c r="F101" s="14">
        <v>44656</v>
      </c>
      <c r="G101" s="39">
        <v>4191.3999999999996</v>
      </c>
      <c r="H101" s="14">
        <v>44632</v>
      </c>
      <c r="I101" s="39">
        <v>4191.2</v>
      </c>
      <c r="J101" s="49"/>
      <c r="K101" s="41"/>
      <c r="L101" s="28"/>
      <c r="M101" s="12">
        <v>44656</v>
      </c>
      <c r="N101" s="13">
        <v>4191.3999999999996</v>
      </c>
      <c r="O101" s="14">
        <v>44656</v>
      </c>
      <c r="P101" s="29" t="s">
        <v>38</v>
      </c>
      <c r="Q101" s="3">
        <f t="shared" si="0"/>
        <v>94</v>
      </c>
      <c r="R101" s="3">
        <v>111.5</v>
      </c>
      <c r="S101" s="3">
        <f t="shared" si="1"/>
        <v>-17.5</v>
      </c>
    </row>
    <row r="102" spans="1:23">
      <c r="A102" s="1" t="s">
        <v>18</v>
      </c>
      <c r="B102" s="1">
        <v>2023</v>
      </c>
      <c r="C102" s="18">
        <v>10126000</v>
      </c>
      <c r="D102" s="18">
        <v>10126000</v>
      </c>
      <c r="E102" s="18">
        <v>10010060</v>
      </c>
      <c r="F102" s="28">
        <v>45055.520833333336</v>
      </c>
      <c r="G102" s="13">
        <v>15.78</v>
      </c>
      <c r="H102" s="28">
        <v>45054.854166666664</v>
      </c>
      <c r="I102" s="13">
        <v>8290</v>
      </c>
      <c r="J102" s="1"/>
      <c r="K102" s="39"/>
      <c r="L102" s="12"/>
      <c r="M102" s="12">
        <v>45054</v>
      </c>
      <c r="N102" s="13">
        <v>8290</v>
      </c>
      <c r="O102" s="14">
        <v>45054</v>
      </c>
      <c r="P102" s="48"/>
      <c r="Q102" s="3">
        <f t="shared" si="0"/>
        <v>127</v>
      </c>
      <c r="R102" s="3">
        <v>137.75</v>
      </c>
      <c r="S102" s="3">
        <f t="shared" si="1"/>
        <v>-10.75</v>
      </c>
      <c r="U102" s="25"/>
      <c r="V102" s="25"/>
      <c r="W102" s="25"/>
    </row>
    <row r="103" spans="1:23">
      <c r="A103" s="2" t="s">
        <v>20</v>
      </c>
      <c r="B103" s="2">
        <v>2023</v>
      </c>
      <c r="C103" s="40">
        <v>10010100</v>
      </c>
      <c r="D103" s="40">
        <v>10010027</v>
      </c>
      <c r="E103" s="14"/>
      <c r="F103" s="14">
        <v>45009</v>
      </c>
      <c r="G103" s="39">
        <v>4189.8</v>
      </c>
      <c r="H103" s="14">
        <v>45019</v>
      </c>
      <c r="I103" s="39">
        <v>4189.6000000000004</v>
      </c>
      <c r="J103" s="2"/>
      <c r="K103" s="52"/>
      <c r="L103" s="34"/>
      <c r="M103" s="12">
        <v>45009</v>
      </c>
      <c r="N103" s="13">
        <v>4189.8</v>
      </c>
      <c r="O103" s="14">
        <v>45009</v>
      </c>
      <c r="P103" s="29" t="s">
        <v>40</v>
      </c>
      <c r="Q103" s="3">
        <f t="shared" si="0"/>
        <v>82</v>
      </c>
      <c r="R103" s="3">
        <v>137.75</v>
      </c>
      <c r="S103" s="3">
        <f t="shared" si="1"/>
        <v>-55.75</v>
      </c>
      <c r="U103" s="3">
        <v>2023</v>
      </c>
      <c r="V103" s="3">
        <f>AVERAGE(Q103,Q130,Q157,Q184)</f>
        <v>82</v>
      </c>
    </row>
    <row r="104" spans="1:23">
      <c r="A104" s="1" t="s">
        <v>21</v>
      </c>
      <c r="B104" s="1">
        <v>2023</v>
      </c>
      <c r="C104" s="18">
        <v>410401112134801</v>
      </c>
      <c r="D104" s="18">
        <v>410401112134801</v>
      </c>
      <c r="E104" s="28"/>
      <c r="F104" s="28">
        <v>44941.21875</v>
      </c>
      <c r="G104" s="13">
        <v>1370</v>
      </c>
      <c r="H104" s="28">
        <v>45100.947916666664</v>
      </c>
      <c r="I104" s="13">
        <v>5.64</v>
      </c>
      <c r="J104" s="10"/>
      <c r="K104" s="39"/>
      <c r="L104" s="18"/>
      <c r="M104" s="12">
        <v>45100</v>
      </c>
      <c r="N104" s="13">
        <v>1370</v>
      </c>
      <c r="O104" s="14">
        <v>45100</v>
      </c>
      <c r="P104" s="29" t="s">
        <v>41</v>
      </c>
      <c r="Q104" s="3">
        <f t="shared" si="0"/>
        <v>173</v>
      </c>
      <c r="R104" s="3">
        <v>137.75</v>
      </c>
      <c r="S104" s="3">
        <f t="shared" si="1"/>
        <v>35.25</v>
      </c>
    </row>
    <row r="105" spans="1:23">
      <c r="A105" s="1" t="s">
        <v>23</v>
      </c>
      <c r="B105" s="1">
        <v>2023</v>
      </c>
      <c r="C105" s="18">
        <v>10010000</v>
      </c>
      <c r="D105" s="18">
        <v>10010024</v>
      </c>
      <c r="E105" s="12"/>
      <c r="F105" s="12">
        <v>45096</v>
      </c>
      <c r="G105" s="13">
        <v>4194</v>
      </c>
      <c r="H105" s="12">
        <v>45083</v>
      </c>
      <c r="I105" s="13">
        <v>4194</v>
      </c>
      <c r="J105" s="8"/>
      <c r="K105" s="28"/>
      <c r="L105" s="28"/>
      <c r="M105" s="12">
        <v>45096</v>
      </c>
      <c r="N105" s="13">
        <v>4194</v>
      </c>
      <c r="O105" s="14">
        <v>45096</v>
      </c>
      <c r="P105" s="29" t="s">
        <v>38</v>
      </c>
      <c r="Q105" s="3">
        <f t="shared" si="0"/>
        <v>169</v>
      </c>
      <c r="R105" s="3">
        <v>137.75</v>
      </c>
      <c r="S105" s="3">
        <f t="shared" si="1"/>
        <v>31.25</v>
      </c>
    </row>
    <row r="106" spans="1:23">
      <c r="A106" s="1" t="s">
        <v>18</v>
      </c>
      <c r="B106" s="1">
        <v>2024</v>
      </c>
      <c r="C106" s="18">
        <v>10126000</v>
      </c>
      <c r="D106" s="18">
        <v>10126000</v>
      </c>
      <c r="E106" s="18">
        <v>10010060</v>
      </c>
      <c r="F106" s="28">
        <v>45413.78125</v>
      </c>
      <c r="G106" s="13">
        <v>11.15</v>
      </c>
      <c r="H106" s="28">
        <v>45413.78125</v>
      </c>
      <c r="I106" s="13">
        <v>4100</v>
      </c>
      <c r="J106" s="8">
        <v>45417.416666666664</v>
      </c>
      <c r="K106" s="13">
        <v>6.97</v>
      </c>
      <c r="L106" s="12"/>
      <c r="M106" s="12">
        <v>45413</v>
      </c>
      <c r="N106" s="13">
        <v>4100</v>
      </c>
      <c r="O106" s="14">
        <v>45413</v>
      </c>
      <c r="P106" s="48"/>
      <c r="Q106" s="3">
        <f t="shared" si="0"/>
        <v>121</v>
      </c>
      <c r="R106" s="3">
        <v>135.25</v>
      </c>
      <c r="S106" s="3">
        <f t="shared" si="1"/>
        <v>-14.25</v>
      </c>
      <c r="U106" s="25"/>
      <c r="V106" s="25"/>
      <c r="W106" s="25"/>
    </row>
    <row r="107" spans="1:23">
      <c r="A107" s="1" t="s">
        <v>20</v>
      </c>
      <c r="B107" s="1">
        <v>2024</v>
      </c>
      <c r="C107" s="18">
        <v>10010100</v>
      </c>
      <c r="D107" s="18">
        <v>10010027</v>
      </c>
      <c r="E107" s="12"/>
      <c r="F107" s="12">
        <v>45460</v>
      </c>
      <c r="G107" s="13">
        <v>4192.3</v>
      </c>
      <c r="H107" s="12">
        <v>45458</v>
      </c>
      <c r="I107" s="13">
        <v>4192.2</v>
      </c>
      <c r="J107" s="1"/>
      <c r="K107" s="6"/>
      <c r="L107" s="34"/>
      <c r="M107" s="12">
        <v>45460</v>
      </c>
      <c r="N107" s="13">
        <v>4192.3</v>
      </c>
      <c r="O107" s="14">
        <v>45460</v>
      </c>
      <c r="P107" s="29"/>
      <c r="Q107" s="3">
        <f t="shared" si="0"/>
        <v>168</v>
      </c>
      <c r="R107" s="3">
        <v>135.25</v>
      </c>
      <c r="S107" s="3">
        <f t="shared" si="1"/>
        <v>32.75</v>
      </c>
      <c r="U107" s="3">
        <v>2024</v>
      </c>
      <c r="V107" s="3">
        <f>AVERAGE(Q107,Q134,Q161,Q188)</f>
        <v>168</v>
      </c>
    </row>
    <row r="108" spans="1:23">
      <c r="A108" s="1" t="s">
        <v>21</v>
      </c>
      <c r="B108" s="1">
        <v>2024</v>
      </c>
      <c r="C108" s="18">
        <v>410401112134801</v>
      </c>
      <c r="D108" s="18">
        <v>410401112134801</v>
      </c>
      <c r="E108" s="28"/>
      <c r="F108" s="28">
        <v>45417.333333333336</v>
      </c>
      <c r="G108" s="13">
        <v>1630</v>
      </c>
      <c r="H108" s="28">
        <v>45417.53125</v>
      </c>
      <c r="I108" s="13">
        <v>6.45</v>
      </c>
      <c r="J108" s="10"/>
      <c r="K108" s="39"/>
      <c r="L108" s="18"/>
      <c r="M108" s="12">
        <v>45417</v>
      </c>
      <c r="N108" s="13">
        <v>1630</v>
      </c>
      <c r="O108" s="14">
        <v>45417</v>
      </c>
      <c r="P108" s="29"/>
      <c r="Q108" s="3">
        <f t="shared" si="0"/>
        <v>125</v>
      </c>
      <c r="R108" s="3">
        <v>135.25</v>
      </c>
      <c r="S108" s="3">
        <f t="shared" si="1"/>
        <v>-10.25</v>
      </c>
    </row>
    <row r="109" spans="1:23">
      <c r="A109" s="1" t="s">
        <v>23</v>
      </c>
      <c r="B109" s="1">
        <v>2024</v>
      </c>
      <c r="C109" s="18">
        <v>10010000</v>
      </c>
      <c r="D109" s="18">
        <v>10010024</v>
      </c>
      <c r="E109" s="12"/>
      <c r="F109" s="12">
        <v>45419</v>
      </c>
      <c r="G109" s="13">
        <v>4195.2</v>
      </c>
      <c r="H109" s="12">
        <v>45422</v>
      </c>
      <c r="I109" s="13">
        <v>4195</v>
      </c>
      <c r="J109" s="28"/>
      <c r="K109" s="28"/>
      <c r="L109" s="28"/>
      <c r="M109" s="12">
        <v>45419</v>
      </c>
      <c r="N109" s="13">
        <v>4195.2</v>
      </c>
      <c r="O109" s="14">
        <v>45419</v>
      </c>
      <c r="P109" s="29" t="s">
        <v>38</v>
      </c>
      <c r="Q109" s="3">
        <f t="shared" si="0"/>
        <v>127</v>
      </c>
      <c r="R109" s="3">
        <v>135.25</v>
      </c>
      <c r="S109" s="3">
        <f t="shared" si="1"/>
        <v>-8.25</v>
      </c>
    </row>
    <row r="110" spans="1:23" ht="15">
      <c r="K110" s="53"/>
      <c r="L110" s="54"/>
      <c r="M110" s="12"/>
      <c r="N110" s="55"/>
      <c r="O110" s="56"/>
      <c r="P110" s="48"/>
      <c r="Q110" s="25"/>
      <c r="R110" s="25"/>
      <c r="S110" s="25"/>
      <c r="U110" s="25"/>
      <c r="V110" s="25"/>
      <c r="W110" s="25"/>
    </row>
    <row r="111" spans="1:23" ht="15">
      <c r="K111" s="53"/>
      <c r="L111" s="54"/>
      <c r="M111" s="12"/>
      <c r="N111" s="55"/>
      <c r="O111" s="56"/>
      <c r="P111" s="48"/>
      <c r="Q111" s="25"/>
      <c r="R111" s="25"/>
      <c r="S111" s="25"/>
      <c r="U111" s="25"/>
      <c r="V111" s="25"/>
      <c r="W111" s="25"/>
    </row>
    <row r="112" spans="1:23" ht="15">
      <c r="M112" s="12"/>
      <c r="O112" s="57"/>
    </row>
    <row r="113" spans="13:15" ht="15">
      <c r="M113" s="12"/>
      <c r="O113" s="57"/>
    </row>
    <row r="114" spans="13:15" ht="12.75">
      <c r="O114" s="57"/>
    </row>
    <row r="115" spans="13:15" ht="12.75">
      <c r="O115" s="57"/>
    </row>
    <row r="116" spans="13:15" ht="12.75">
      <c r="O116" s="57"/>
    </row>
    <row r="117" spans="13:15" ht="12.75">
      <c r="O117" s="57"/>
    </row>
    <row r="118" spans="13:15" ht="12.75">
      <c r="O118" s="57"/>
    </row>
    <row r="119" spans="13:15" ht="12.75">
      <c r="O119" s="57"/>
    </row>
    <row r="120" spans="13:15" ht="12.75">
      <c r="O120" s="57"/>
    </row>
    <row r="121" spans="13:15" ht="12.75">
      <c r="O121" s="57"/>
    </row>
    <row r="122" spans="13:15" ht="12.75">
      <c r="O122" s="57"/>
    </row>
    <row r="123" spans="13:15" ht="12.75">
      <c r="O123" s="57"/>
    </row>
    <row r="124" spans="13:15" ht="12.75">
      <c r="O124" s="57"/>
    </row>
    <row r="125" spans="13:15" ht="12.75">
      <c r="O125" s="57"/>
    </row>
    <row r="126" spans="13:15" ht="12.75">
      <c r="O126" s="57"/>
    </row>
    <row r="127" spans="13:15" ht="12.75">
      <c r="O127" s="57"/>
    </row>
    <row r="128" spans="13:15" ht="12.75">
      <c r="O128" s="57"/>
    </row>
    <row r="129" spans="15:15" ht="12.75">
      <c r="O129" s="57"/>
    </row>
    <row r="130" spans="15:15" ht="12.75">
      <c r="O130" s="57"/>
    </row>
    <row r="131" spans="15:15" ht="12.75">
      <c r="O131" s="57"/>
    </row>
    <row r="132" spans="15:15" ht="12.75">
      <c r="O132" s="57"/>
    </row>
    <row r="133" spans="15:15" ht="12.75">
      <c r="O133" s="57"/>
    </row>
    <row r="134" spans="15:15" ht="12.75">
      <c r="O134" s="57"/>
    </row>
    <row r="135" spans="15:15" ht="12.75">
      <c r="O135" s="57"/>
    </row>
    <row r="136" spans="15:15" ht="12.75">
      <c r="O136" s="57"/>
    </row>
    <row r="137" spans="15:15" ht="12.75">
      <c r="O137" s="57"/>
    </row>
    <row r="138" spans="15:15" ht="12.75">
      <c r="O138" s="57"/>
    </row>
    <row r="139" spans="15:15" ht="12.75">
      <c r="O139" s="57"/>
    </row>
    <row r="140" spans="15:15" ht="12.75">
      <c r="O140" s="57"/>
    </row>
    <row r="141" spans="15:15" ht="12.75">
      <c r="O141" s="57"/>
    </row>
    <row r="142" spans="15:15" ht="12.75">
      <c r="O142" s="57"/>
    </row>
    <row r="143" spans="15:15" ht="12.75">
      <c r="O143" s="57"/>
    </row>
    <row r="144" spans="15:15" ht="12.75">
      <c r="O144" s="57"/>
    </row>
    <row r="145" spans="15:15" ht="12.75">
      <c r="O145" s="57"/>
    </row>
    <row r="146" spans="15:15" ht="12.75">
      <c r="O146" s="57"/>
    </row>
    <row r="147" spans="15:15" ht="12.75">
      <c r="O147" s="57"/>
    </row>
    <row r="148" spans="15:15" ht="12.75">
      <c r="O148" s="57"/>
    </row>
    <row r="149" spans="15:15" ht="12.75">
      <c r="O149" s="57"/>
    </row>
    <row r="150" spans="15:15" ht="12.75">
      <c r="O150" s="57"/>
    </row>
    <row r="151" spans="15:15" ht="12.75">
      <c r="O151" s="57"/>
    </row>
    <row r="152" spans="15:15" ht="12.75">
      <c r="O152" s="57"/>
    </row>
    <row r="153" spans="15:15" ht="12.75">
      <c r="O153" s="57"/>
    </row>
    <row r="154" spans="15:15" ht="12.75">
      <c r="O154" s="57"/>
    </row>
    <row r="155" spans="15:15" ht="12.75">
      <c r="O155" s="57"/>
    </row>
    <row r="156" spans="15:15" ht="12.75">
      <c r="O156" s="57"/>
    </row>
    <row r="157" spans="15:15" ht="12.75">
      <c r="O157" s="57"/>
    </row>
    <row r="158" spans="15:15" ht="12.75">
      <c r="O158" s="57"/>
    </row>
    <row r="159" spans="15:15" ht="12.75">
      <c r="O159" s="57"/>
    </row>
    <row r="160" spans="15:15" ht="12.75">
      <c r="O160" s="57"/>
    </row>
    <row r="161" spans="15:15" ht="12.75">
      <c r="O161" s="57"/>
    </row>
    <row r="162" spans="15:15" ht="12.75">
      <c r="O162" s="57"/>
    </row>
    <row r="163" spans="15:15" ht="12.75">
      <c r="O163" s="57"/>
    </row>
    <row r="164" spans="15:15" ht="12.75">
      <c r="O164" s="57"/>
    </row>
    <row r="165" spans="15:15" ht="12.75">
      <c r="O165" s="57"/>
    </row>
    <row r="166" spans="15:15" ht="12.75">
      <c r="O166" s="57"/>
    </row>
    <row r="167" spans="15:15" ht="12.75">
      <c r="O167" s="57"/>
    </row>
    <row r="168" spans="15:15" ht="12.75">
      <c r="O168" s="57"/>
    </row>
    <row r="169" spans="15:15" ht="12.75">
      <c r="O169" s="57"/>
    </row>
    <row r="170" spans="15:15" ht="12.75">
      <c r="O170" s="57"/>
    </row>
    <row r="171" spans="15:15" ht="12.75">
      <c r="O171" s="57"/>
    </row>
    <row r="172" spans="15:15" ht="12.75">
      <c r="O172" s="57"/>
    </row>
    <row r="173" spans="15:15" ht="12.75">
      <c r="O173" s="57"/>
    </row>
    <row r="174" spans="15:15" ht="12.75">
      <c r="O174" s="57"/>
    </row>
    <row r="175" spans="15:15" ht="12.75">
      <c r="O175" s="57"/>
    </row>
    <row r="176" spans="15:15" ht="12.75">
      <c r="O176" s="57"/>
    </row>
    <row r="177" spans="15:15" ht="12.75">
      <c r="O177" s="57"/>
    </row>
    <row r="178" spans="15:15" ht="12.75">
      <c r="O178" s="57"/>
    </row>
    <row r="179" spans="15:15" ht="12.75">
      <c r="O179" s="57"/>
    </row>
    <row r="180" spans="15:15" ht="12.75">
      <c r="O180" s="57"/>
    </row>
    <row r="181" spans="15:15" ht="12.75">
      <c r="O181" s="57"/>
    </row>
    <row r="182" spans="15:15" ht="12.75">
      <c r="O182" s="57"/>
    </row>
    <row r="183" spans="15:15" ht="12.75">
      <c r="O183" s="57"/>
    </row>
    <row r="184" spans="15:15" ht="12.75">
      <c r="O184" s="57"/>
    </row>
    <row r="185" spans="15:15" ht="12.75">
      <c r="O185" s="57"/>
    </row>
    <row r="186" spans="15:15" ht="12.75">
      <c r="O186" s="57"/>
    </row>
    <row r="187" spans="15:15" ht="12.75">
      <c r="O187" s="57"/>
    </row>
    <row r="188" spans="15:15" ht="12.75">
      <c r="O188" s="57"/>
    </row>
    <row r="189" spans="15:15" ht="12.75">
      <c r="O189" s="57"/>
    </row>
    <row r="190" spans="15:15" ht="12.75">
      <c r="O190" s="57"/>
    </row>
    <row r="191" spans="15:15" ht="12.75">
      <c r="O191" s="57"/>
    </row>
    <row r="192" spans="15:15" ht="12.75">
      <c r="O192" s="57"/>
    </row>
    <row r="193" spans="15:15" ht="12.75">
      <c r="O193" s="57"/>
    </row>
    <row r="194" spans="15:15" ht="12.75">
      <c r="O194" s="57"/>
    </row>
    <row r="195" spans="15:15" ht="12.75">
      <c r="O195" s="57"/>
    </row>
    <row r="196" spans="15:15" ht="12.75">
      <c r="O196" s="57"/>
    </row>
    <row r="197" spans="15:15" ht="12.75">
      <c r="O197" s="57"/>
    </row>
    <row r="198" spans="15:15" ht="12.75">
      <c r="O198" s="57"/>
    </row>
    <row r="199" spans="15:15" ht="12.75">
      <c r="O199" s="57"/>
    </row>
    <row r="200" spans="15:15" ht="12.75">
      <c r="O200" s="57"/>
    </row>
    <row r="201" spans="15:15" ht="12.75">
      <c r="O201" s="57"/>
    </row>
    <row r="202" spans="15:15" ht="12.75">
      <c r="O202" s="57"/>
    </row>
    <row r="203" spans="15:15" ht="12.75">
      <c r="O203" s="57"/>
    </row>
    <row r="204" spans="15:15" ht="12.75">
      <c r="O204" s="57"/>
    </row>
    <row r="205" spans="15:15" ht="12.75">
      <c r="O205" s="57"/>
    </row>
    <row r="206" spans="15:15" ht="12.75">
      <c r="O206" s="57"/>
    </row>
    <row r="207" spans="15:15" ht="12.75">
      <c r="O207" s="57"/>
    </row>
    <row r="208" spans="15:15" ht="12.75">
      <c r="O208" s="57"/>
    </row>
    <row r="209" spans="15:15" ht="12.75">
      <c r="O209" s="57"/>
    </row>
    <row r="210" spans="15:15" ht="12.75">
      <c r="O210" s="57"/>
    </row>
    <row r="211" spans="15:15" ht="12.75">
      <c r="O211" s="57"/>
    </row>
    <row r="212" spans="15:15" ht="12.75">
      <c r="O212" s="57"/>
    </row>
    <row r="213" spans="15:15" ht="12.75">
      <c r="O213" s="57"/>
    </row>
    <row r="214" spans="15:15" ht="12.75">
      <c r="O214" s="57"/>
    </row>
    <row r="215" spans="15:15" ht="12.75">
      <c r="O215" s="57"/>
    </row>
    <row r="216" spans="15:15" ht="12.75">
      <c r="O216" s="57"/>
    </row>
    <row r="217" spans="15:15" ht="12.75">
      <c r="O217" s="57"/>
    </row>
    <row r="218" spans="15:15" ht="12.75">
      <c r="O218" s="57"/>
    </row>
    <row r="219" spans="15:15" ht="12.75">
      <c r="O219" s="57"/>
    </row>
    <row r="220" spans="15:15" ht="12.75">
      <c r="O220" s="57"/>
    </row>
    <row r="221" spans="15:15" ht="12.75">
      <c r="O221" s="57"/>
    </row>
    <row r="222" spans="15:15" ht="12.75">
      <c r="O222" s="57"/>
    </row>
    <row r="223" spans="15:15" ht="12.75">
      <c r="O223" s="57"/>
    </row>
    <row r="224" spans="15:15" ht="12.75">
      <c r="O224" s="57"/>
    </row>
    <row r="225" spans="15:15" ht="12.75">
      <c r="O225" s="57"/>
    </row>
    <row r="226" spans="15:15" ht="12.75">
      <c r="O226" s="57"/>
    </row>
    <row r="227" spans="15:15" ht="12.75">
      <c r="O227" s="57"/>
    </row>
    <row r="228" spans="15:15" ht="12.75">
      <c r="O228" s="57"/>
    </row>
    <row r="229" spans="15:15" ht="12.75">
      <c r="O229" s="57"/>
    </row>
    <row r="230" spans="15:15" ht="12.75">
      <c r="O230" s="57"/>
    </row>
    <row r="231" spans="15:15" ht="12.75">
      <c r="O231" s="57"/>
    </row>
    <row r="232" spans="15:15" ht="12.75">
      <c r="O232" s="57"/>
    </row>
    <row r="233" spans="15:15" ht="12.75">
      <c r="O233" s="57"/>
    </row>
    <row r="234" spans="15:15" ht="12.75">
      <c r="O234" s="57"/>
    </row>
    <row r="235" spans="15:15" ht="12.75">
      <c r="O235" s="57"/>
    </row>
    <row r="236" spans="15:15" ht="12.75">
      <c r="O236" s="57"/>
    </row>
    <row r="237" spans="15:15" ht="12.75">
      <c r="O237" s="57"/>
    </row>
    <row r="238" spans="15:15" ht="12.75">
      <c r="O238" s="57"/>
    </row>
    <row r="239" spans="15:15" ht="12.75">
      <c r="O239" s="57"/>
    </row>
    <row r="240" spans="15:15" ht="12.75">
      <c r="O240" s="57"/>
    </row>
    <row r="241" spans="15:15" ht="12.75">
      <c r="O241" s="57"/>
    </row>
    <row r="242" spans="15:15" ht="12.75">
      <c r="O242" s="57"/>
    </row>
    <row r="243" spans="15:15" ht="12.75">
      <c r="O243" s="57"/>
    </row>
    <row r="244" spans="15:15" ht="12.75">
      <c r="O244" s="57"/>
    </row>
    <row r="245" spans="15:15" ht="12.75">
      <c r="O245" s="57"/>
    </row>
    <row r="246" spans="15:15" ht="12.75">
      <c r="O246" s="57"/>
    </row>
    <row r="247" spans="15:15" ht="12.75">
      <c r="O247" s="57"/>
    </row>
    <row r="248" spans="15:15" ht="12.75">
      <c r="O248" s="57"/>
    </row>
    <row r="249" spans="15:15" ht="12.75">
      <c r="O249" s="57"/>
    </row>
    <row r="250" spans="15:15" ht="12.75">
      <c r="O250" s="57"/>
    </row>
    <row r="251" spans="15:15" ht="12.75">
      <c r="O251" s="57"/>
    </row>
    <row r="252" spans="15:15" ht="12.75">
      <c r="O252" s="57"/>
    </row>
    <row r="253" spans="15:15" ht="12.75">
      <c r="O253" s="57"/>
    </row>
    <row r="254" spans="15:15" ht="12.75">
      <c r="O254" s="57"/>
    </row>
    <row r="255" spans="15:15" ht="12.75">
      <c r="O255" s="57"/>
    </row>
    <row r="256" spans="15:15" ht="12.75">
      <c r="O256" s="57"/>
    </row>
    <row r="257" spans="15:15" ht="12.75">
      <c r="O257" s="57"/>
    </row>
    <row r="258" spans="15:15" ht="12.75">
      <c r="O258" s="57"/>
    </row>
    <row r="259" spans="15:15" ht="12.75">
      <c r="O259" s="57"/>
    </row>
    <row r="260" spans="15:15" ht="12.75">
      <c r="O260" s="57"/>
    </row>
    <row r="261" spans="15:15" ht="12.75">
      <c r="O261" s="57"/>
    </row>
    <row r="262" spans="15:15" ht="12.75">
      <c r="O262" s="57"/>
    </row>
    <row r="263" spans="15:15" ht="12.75">
      <c r="O263" s="57"/>
    </row>
    <row r="264" spans="15:15" ht="12.75">
      <c r="O264" s="57"/>
    </row>
    <row r="265" spans="15:15" ht="12.75">
      <c r="O265" s="57"/>
    </row>
    <row r="266" spans="15:15" ht="12.75">
      <c r="O266" s="57"/>
    </row>
    <row r="267" spans="15:15" ht="12.75">
      <c r="O267" s="57"/>
    </row>
    <row r="268" spans="15:15" ht="12.75">
      <c r="O268" s="57"/>
    </row>
    <row r="269" spans="15:15" ht="12.75">
      <c r="O269" s="57"/>
    </row>
    <row r="270" spans="15:15" ht="12.75">
      <c r="O270" s="57"/>
    </row>
    <row r="271" spans="15:15" ht="12.75">
      <c r="O271" s="57"/>
    </row>
    <row r="272" spans="15:15" ht="12.75">
      <c r="O272" s="57"/>
    </row>
    <row r="273" spans="15:15" ht="12.75">
      <c r="O273" s="57"/>
    </row>
    <row r="274" spans="15:15" ht="12.75">
      <c r="O274" s="57"/>
    </row>
    <row r="275" spans="15:15" ht="12.75">
      <c r="O275" s="57"/>
    </row>
    <row r="276" spans="15:15" ht="12.75">
      <c r="O276" s="57"/>
    </row>
    <row r="277" spans="15:15" ht="12.75">
      <c r="O277" s="57"/>
    </row>
    <row r="278" spans="15:15" ht="12.75">
      <c r="O278" s="57"/>
    </row>
    <row r="279" spans="15:15" ht="12.75">
      <c r="O279" s="57"/>
    </row>
    <row r="280" spans="15:15" ht="12.75">
      <c r="O280" s="57"/>
    </row>
    <row r="281" spans="15:15" ht="12.75">
      <c r="O281" s="57"/>
    </row>
    <row r="282" spans="15:15" ht="12.75">
      <c r="O282" s="57"/>
    </row>
    <row r="283" spans="15:15" ht="12.75">
      <c r="O283" s="57"/>
    </row>
    <row r="284" spans="15:15" ht="12.75">
      <c r="O284" s="57"/>
    </row>
    <row r="285" spans="15:15" ht="12.75">
      <c r="O285" s="57"/>
    </row>
    <row r="286" spans="15:15" ht="12.75">
      <c r="O286" s="57"/>
    </row>
    <row r="287" spans="15:15" ht="12.75">
      <c r="O287" s="57"/>
    </row>
    <row r="288" spans="15:15" ht="12.75">
      <c r="O288" s="57"/>
    </row>
    <row r="289" spans="15:15" ht="12.75">
      <c r="O289" s="57"/>
    </row>
    <row r="290" spans="15:15" ht="12.75">
      <c r="O290" s="57"/>
    </row>
    <row r="291" spans="15:15" ht="12.75">
      <c r="O291" s="57"/>
    </row>
    <row r="292" spans="15:15" ht="12.75">
      <c r="O292" s="57"/>
    </row>
    <row r="293" spans="15:15" ht="12.75">
      <c r="O293" s="57"/>
    </row>
    <row r="294" spans="15:15" ht="12.75">
      <c r="O294" s="57"/>
    </row>
    <row r="295" spans="15:15" ht="12.75">
      <c r="O295" s="57"/>
    </row>
    <row r="296" spans="15:15" ht="12.75">
      <c r="O296" s="57"/>
    </row>
    <row r="297" spans="15:15" ht="12.75">
      <c r="O297" s="57"/>
    </row>
    <row r="298" spans="15:15" ht="12.75">
      <c r="O298" s="57"/>
    </row>
    <row r="299" spans="15:15" ht="12.75">
      <c r="O299" s="57"/>
    </row>
    <row r="300" spans="15:15" ht="12.75">
      <c r="O300" s="57"/>
    </row>
    <row r="301" spans="15:15" ht="12.75">
      <c r="O301" s="57"/>
    </row>
    <row r="302" spans="15:15" ht="12.75">
      <c r="O302" s="57"/>
    </row>
    <row r="303" spans="15:15" ht="12.75">
      <c r="O303" s="57"/>
    </row>
    <row r="304" spans="15:15" ht="12.75">
      <c r="O304" s="57"/>
    </row>
    <row r="305" spans="15:15" ht="12.75">
      <c r="O305" s="57"/>
    </row>
    <row r="306" spans="15:15" ht="12.75">
      <c r="O306" s="57"/>
    </row>
    <row r="307" spans="15:15" ht="12.75">
      <c r="O307" s="57"/>
    </row>
    <row r="308" spans="15:15" ht="12.75">
      <c r="O308" s="57"/>
    </row>
    <row r="309" spans="15:15" ht="12.75">
      <c r="O309" s="57"/>
    </row>
    <row r="310" spans="15:15" ht="12.75">
      <c r="O310" s="57"/>
    </row>
    <row r="311" spans="15:15" ht="12.75">
      <c r="O311" s="57"/>
    </row>
    <row r="312" spans="15:15" ht="12.75">
      <c r="O312" s="57"/>
    </row>
    <row r="313" spans="15:15" ht="12.75">
      <c r="O313" s="57"/>
    </row>
    <row r="314" spans="15:15" ht="12.75">
      <c r="O314" s="57"/>
    </row>
    <row r="315" spans="15:15" ht="12.75">
      <c r="O315" s="57"/>
    </row>
    <row r="316" spans="15:15" ht="12.75">
      <c r="O316" s="57"/>
    </row>
    <row r="317" spans="15:15" ht="12.75">
      <c r="O317" s="57"/>
    </row>
    <row r="318" spans="15:15" ht="12.75">
      <c r="O318" s="57"/>
    </row>
    <row r="319" spans="15:15" ht="12.75">
      <c r="O319" s="57"/>
    </row>
    <row r="320" spans="15:15" ht="12.75">
      <c r="O320" s="57"/>
    </row>
    <row r="321" spans="15:15" ht="12.75">
      <c r="O321" s="57"/>
    </row>
    <row r="322" spans="15:15" ht="12.75">
      <c r="O322" s="57"/>
    </row>
    <row r="323" spans="15:15" ht="12.75">
      <c r="O323" s="57"/>
    </row>
    <row r="324" spans="15:15" ht="12.75">
      <c r="O324" s="57"/>
    </row>
    <row r="325" spans="15:15" ht="12.75">
      <c r="O325" s="57"/>
    </row>
    <row r="326" spans="15:15" ht="12.75">
      <c r="O326" s="57"/>
    </row>
    <row r="327" spans="15:15" ht="12.75">
      <c r="O327" s="57"/>
    </row>
    <row r="328" spans="15:15" ht="12.75">
      <c r="O328" s="57"/>
    </row>
    <row r="329" spans="15:15" ht="12.75">
      <c r="O329" s="57"/>
    </row>
    <row r="330" spans="15:15" ht="12.75">
      <c r="O330" s="57"/>
    </row>
    <row r="331" spans="15:15" ht="12.75">
      <c r="O331" s="57"/>
    </row>
    <row r="332" spans="15:15" ht="12.75">
      <c r="O332" s="57"/>
    </row>
    <row r="333" spans="15:15" ht="12.75">
      <c r="O333" s="57"/>
    </row>
    <row r="334" spans="15:15" ht="12.75">
      <c r="O334" s="57"/>
    </row>
    <row r="335" spans="15:15" ht="12.75">
      <c r="O335" s="57"/>
    </row>
    <row r="336" spans="15:15" ht="12.75">
      <c r="O336" s="57"/>
    </row>
    <row r="337" spans="15:15" ht="12.75">
      <c r="O337" s="57"/>
    </row>
    <row r="338" spans="15:15" ht="12.75">
      <c r="O338" s="57"/>
    </row>
    <row r="339" spans="15:15" ht="12.75">
      <c r="O339" s="57"/>
    </row>
    <row r="340" spans="15:15" ht="12.75">
      <c r="O340" s="57"/>
    </row>
    <row r="341" spans="15:15" ht="12.75">
      <c r="O341" s="57"/>
    </row>
    <row r="342" spans="15:15" ht="12.75">
      <c r="O342" s="57"/>
    </row>
    <row r="343" spans="15:15" ht="12.75">
      <c r="O343" s="57"/>
    </row>
    <row r="344" spans="15:15" ht="12.75">
      <c r="O344" s="57"/>
    </row>
    <row r="345" spans="15:15" ht="12.75">
      <c r="O345" s="57"/>
    </row>
    <row r="346" spans="15:15" ht="12.75">
      <c r="O346" s="57"/>
    </row>
    <row r="347" spans="15:15" ht="12.75">
      <c r="O347" s="57"/>
    </row>
    <row r="348" spans="15:15" ht="12.75">
      <c r="O348" s="57"/>
    </row>
    <row r="349" spans="15:15" ht="12.75">
      <c r="O349" s="57"/>
    </row>
    <row r="350" spans="15:15" ht="12.75">
      <c r="O350" s="57"/>
    </row>
    <row r="351" spans="15:15" ht="12.75">
      <c r="O351" s="57"/>
    </row>
    <row r="352" spans="15:15" ht="12.75">
      <c r="O352" s="57"/>
    </row>
    <row r="353" spans="15:15" ht="12.75">
      <c r="O353" s="57"/>
    </row>
    <row r="354" spans="15:15" ht="12.75">
      <c r="O354" s="57"/>
    </row>
    <row r="355" spans="15:15" ht="12.75">
      <c r="O355" s="57"/>
    </row>
    <row r="356" spans="15:15" ht="12.75">
      <c r="O356" s="57"/>
    </row>
    <row r="357" spans="15:15" ht="12.75">
      <c r="O357" s="57"/>
    </row>
    <row r="358" spans="15:15" ht="12.75">
      <c r="O358" s="57"/>
    </row>
    <row r="359" spans="15:15" ht="12.75">
      <c r="O359" s="57"/>
    </row>
    <row r="360" spans="15:15" ht="12.75">
      <c r="O360" s="57"/>
    </row>
    <row r="361" spans="15:15" ht="12.75">
      <c r="O361" s="57"/>
    </row>
    <row r="362" spans="15:15" ht="12.75">
      <c r="O362" s="57"/>
    </row>
    <row r="363" spans="15:15" ht="12.75">
      <c r="O363" s="57"/>
    </row>
    <row r="364" spans="15:15" ht="12.75">
      <c r="O364" s="57"/>
    </row>
    <row r="365" spans="15:15" ht="12.75">
      <c r="O365" s="57"/>
    </row>
    <row r="366" spans="15:15" ht="12.75">
      <c r="O366" s="57"/>
    </row>
    <row r="367" spans="15:15" ht="12.75">
      <c r="O367" s="57"/>
    </row>
    <row r="368" spans="15:15" ht="12.75">
      <c r="O368" s="57"/>
    </row>
    <row r="369" spans="15:15" ht="12.75">
      <c r="O369" s="57"/>
    </row>
    <row r="370" spans="15:15" ht="12.75">
      <c r="O370" s="57"/>
    </row>
    <row r="371" spans="15:15" ht="12.75">
      <c r="O371" s="57"/>
    </row>
    <row r="372" spans="15:15" ht="12.75">
      <c r="O372" s="57"/>
    </row>
    <row r="373" spans="15:15" ht="12.75">
      <c r="O373" s="57"/>
    </row>
    <row r="374" spans="15:15" ht="12.75">
      <c r="O374" s="57"/>
    </row>
    <row r="375" spans="15:15" ht="12.75">
      <c r="O375" s="57"/>
    </row>
    <row r="376" spans="15:15" ht="12.75">
      <c r="O376" s="57"/>
    </row>
    <row r="377" spans="15:15" ht="12.75">
      <c r="O377" s="57"/>
    </row>
    <row r="378" spans="15:15" ht="12.75">
      <c r="O378" s="57"/>
    </row>
    <row r="379" spans="15:15" ht="12.75">
      <c r="O379" s="57"/>
    </row>
    <row r="380" spans="15:15" ht="12.75">
      <c r="O380" s="57"/>
    </row>
    <row r="381" spans="15:15" ht="12.75">
      <c r="O381" s="57"/>
    </row>
    <row r="382" spans="15:15" ht="12.75">
      <c r="O382" s="57"/>
    </row>
    <row r="383" spans="15:15" ht="12.75">
      <c r="O383" s="57"/>
    </row>
    <row r="384" spans="15:15" ht="12.75">
      <c r="O384" s="57"/>
    </row>
    <row r="385" spans="15:15" ht="12.75">
      <c r="O385" s="57"/>
    </row>
    <row r="386" spans="15:15" ht="12.75">
      <c r="O386" s="57"/>
    </row>
    <row r="387" spans="15:15" ht="12.75">
      <c r="O387" s="57"/>
    </row>
    <row r="388" spans="15:15" ht="12.75">
      <c r="O388" s="57"/>
    </row>
    <row r="389" spans="15:15" ht="12.75">
      <c r="O389" s="57"/>
    </row>
    <row r="390" spans="15:15" ht="12.75">
      <c r="O390" s="57"/>
    </row>
    <row r="391" spans="15:15" ht="12.75">
      <c r="O391" s="57"/>
    </row>
    <row r="392" spans="15:15" ht="12.75">
      <c r="O392" s="57"/>
    </row>
    <row r="393" spans="15:15" ht="12.75">
      <c r="O393" s="57"/>
    </row>
    <row r="394" spans="15:15" ht="12.75">
      <c r="O394" s="57"/>
    </row>
    <row r="395" spans="15:15" ht="12.75">
      <c r="O395" s="57"/>
    </row>
    <row r="396" spans="15:15" ht="12.75">
      <c r="O396" s="57"/>
    </row>
    <row r="397" spans="15:15" ht="12.75">
      <c r="O397" s="57"/>
    </row>
    <row r="398" spans="15:15" ht="12.75">
      <c r="O398" s="57"/>
    </row>
    <row r="399" spans="15:15" ht="12.75">
      <c r="O399" s="57"/>
    </row>
    <row r="400" spans="15:15" ht="12.75">
      <c r="O400" s="57"/>
    </row>
    <row r="401" spans="15:15" ht="12.75">
      <c r="O401" s="57"/>
    </row>
    <row r="402" spans="15:15" ht="12.75">
      <c r="O402" s="57"/>
    </row>
    <row r="403" spans="15:15" ht="12.75">
      <c r="O403" s="57"/>
    </row>
    <row r="404" spans="15:15" ht="12.75">
      <c r="O404" s="57"/>
    </row>
    <row r="405" spans="15:15" ht="12.75">
      <c r="O405" s="57"/>
    </row>
    <row r="406" spans="15:15" ht="12.75">
      <c r="O406" s="57"/>
    </row>
    <row r="407" spans="15:15" ht="12.75">
      <c r="O407" s="57"/>
    </row>
    <row r="408" spans="15:15" ht="12.75">
      <c r="O408" s="57"/>
    </row>
    <row r="409" spans="15:15" ht="12.75">
      <c r="O409" s="57"/>
    </row>
    <row r="410" spans="15:15" ht="12.75">
      <c r="O410" s="57"/>
    </row>
    <row r="411" spans="15:15" ht="12.75">
      <c r="O411" s="57"/>
    </row>
    <row r="412" spans="15:15" ht="12.75">
      <c r="O412" s="57"/>
    </row>
    <row r="413" spans="15:15" ht="12.75">
      <c r="O413" s="57"/>
    </row>
    <row r="414" spans="15:15" ht="12.75">
      <c r="O414" s="57"/>
    </row>
    <row r="415" spans="15:15" ht="12.75">
      <c r="O415" s="57"/>
    </row>
    <row r="416" spans="15:15" ht="12.75">
      <c r="O416" s="57"/>
    </row>
    <row r="417" spans="15:15" ht="12.75">
      <c r="O417" s="57"/>
    </row>
    <row r="418" spans="15:15" ht="12.75">
      <c r="O418" s="57"/>
    </row>
    <row r="419" spans="15:15" ht="12.75">
      <c r="O419" s="57"/>
    </row>
    <row r="420" spans="15:15" ht="12.75">
      <c r="O420" s="57"/>
    </row>
    <row r="421" spans="15:15" ht="12.75">
      <c r="O421" s="57"/>
    </row>
    <row r="422" spans="15:15" ht="12.75">
      <c r="O422" s="57"/>
    </row>
    <row r="423" spans="15:15" ht="12.75">
      <c r="O423" s="57"/>
    </row>
    <row r="424" spans="15:15" ht="12.75">
      <c r="O424" s="57"/>
    </row>
    <row r="425" spans="15:15" ht="12.75">
      <c r="O425" s="57"/>
    </row>
    <row r="426" spans="15:15" ht="12.75">
      <c r="O426" s="57"/>
    </row>
    <row r="427" spans="15:15" ht="12.75">
      <c r="O427" s="57"/>
    </row>
    <row r="428" spans="15:15" ht="12.75">
      <c r="O428" s="57"/>
    </row>
    <row r="429" spans="15:15" ht="12.75">
      <c r="O429" s="57"/>
    </row>
    <row r="430" spans="15:15" ht="12.75">
      <c r="O430" s="57"/>
    </row>
    <row r="431" spans="15:15" ht="12.75">
      <c r="O431" s="57"/>
    </row>
    <row r="432" spans="15:15" ht="12.75">
      <c r="O432" s="57"/>
    </row>
    <row r="433" spans="15:15" ht="12.75">
      <c r="O433" s="57"/>
    </row>
    <row r="434" spans="15:15" ht="12.75">
      <c r="O434" s="57"/>
    </row>
    <row r="435" spans="15:15" ht="12.75">
      <c r="O435" s="57"/>
    </row>
    <row r="436" spans="15:15" ht="12.75">
      <c r="O436" s="57"/>
    </row>
    <row r="437" spans="15:15" ht="12.75">
      <c r="O437" s="57"/>
    </row>
    <row r="438" spans="15:15" ht="12.75">
      <c r="O438" s="57"/>
    </row>
    <row r="439" spans="15:15" ht="12.75">
      <c r="O439" s="57"/>
    </row>
    <row r="440" spans="15:15" ht="12.75">
      <c r="O440" s="57"/>
    </row>
    <row r="441" spans="15:15" ht="12.75">
      <c r="O441" s="57"/>
    </row>
    <row r="442" spans="15:15" ht="12.75">
      <c r="O442" s="57"/>
    </row>
    <row r="443" spans="15:15" ht="12.75">
      <c r="O443" s="57"/>
    </row>
    <row r="444" spans="15:15" ht="12.75">
      <c r="O444" s="57"/>
    </row>
    <row r="445" spans="15:15" ht="12.75">
      <c r="O445" s="57"/>
    </row>
    <row r="446" spans="15:15" ht="12.75">
      <c r="O446" s="57"/>
    </row>
    <row r="447" spans="15:15" ht="12.75">
      <c r="O447" s="57"/>
    </row>
    <row r="448" spans="15:15" ht="12.75">
      <c r="O448" s="57"/>
    </row>
    <row r="449" spans="15:15" ht="12.75">
      <c r="O449" s="57"/>
    </row>
    <row r="450" spans="15:15" ht="12.75">
      <c r="O450" s="57"/>
    </row>
    <row r="451" spans="15:15" ht="12.75">
      <c r="O451" s="57"/>
    </row>
    <row r="452" spans="15:15" ht="12.75">
      <c r="O452" s="57"/>
    </row>
    <row r="453" spans="15:15" ht="12.75">
      <c r="O453" s="57"/>
    </row>
    <row r="454" spans="15:15" ht="12.75">
      <c r="O454" s="57"/>
    </row>
    <row r="455" spans="15:15" ht="12.75">
      <c r="O455" s="57"/>
    </row>
    <row r="456" spans="15:15" ht="12.75">
      <c r="O456" s="57"/>
    </row>
    <row r="457" spans="15:15" ht="12.75">
      <c r="O457" s="57"/>
    </row>
    <row r="458" spans="15:15" ht="12.75">
      <c r="O458" s="57"/>
    </row>
    <row r="459" spans="15:15" ht="12.75">
      <c r="O459" s="57"/>
    </row>
    <row r="460" spans="15:15" ht="12.75">
      <c r="O460" s="57"/>
    </row>
    <row r="461" spans="15:15" ht="12.75">
      <c r="O461" s="57"/>
    </row>
    <row r="462" spans="15:15" ht="12.75">
      <c r="O462" s="57"/>
    </row>
    <row r="463" spans="15:15" ht="12.75">
      <c r="O463" s="57"/>
    </row>
    <row r="464" spans="15:15" ht="12.75">
      <c r="O464" s="57"/>
    </row>
    <row r="465" spans="15:15" ht="12.75">
      <c r="O465" s="57"/>
    </row>
    <row r="466" spans="15:15" ht="12.75">
      <c r="O466" s="57"/>
    </row>
    <row r="467" spans="15:15" ht="12.75">
      <c r="O467" s="57"/>
    </row>
    <row r="468" spans="15:15" ht="12.75">
      <c r="O468" s="57"/>
    </row>
    <row r="469" spans="15:15" ht="12.75">
      <c r="O469" s="57"/>
    </row>
    <row r="470" spans="15:15" ht="12.75">
      <c r="O470" s="57"/>
    </row>
    <row r="471" spans="15:15" ht="12.75">
      <c r="O471" s="57"/>
    </row>
    <row r="472" spans="15:15" ht="12.75">
      <c r="O472" s="57"/>
    </row>
    <row r="473" spans="15:15" ht="12.75">
      <c r="O473" s="57"/>
    </row>
    <row r="474" spans="15:15" ht="12.75">
      <c r="O474" s="57"/>
    </row>
    <row r="475" spans="15:15" ht="12.75">
      <c r="O475" s="57"/>
    </row>
    <row r="476" spans="15:15" ht="12.75">
      <c r="O476" s="57"/>
    </row>
    <row r="477" spans="15:15" ht="12.75">
      <c r="O477" s="57"/>
    </row>
    <row r="478" spans="15:15" ht="12.75">
      <c r="O478" s="57"/>
    </row>
    <row r="479" spans="15:15" ht="12.75">
      <c r="O479" s="57"/>
    </row>
    <row r="480" spans="15:15" ht="12.75">
      <c r="O480" s="57"/>
    </row>
    <row r="481" spans="15:15" ht="12.75">
      <c r="O481" s="57"/>
    </row>
    <row r="482" spans="15:15" ht="12.75">
      <c r="O482" s="57"/>
    </row>
    <row r="483" spans="15:15" ht="12.75">
      <c r="O483" s="57"/>
    </row>
    <row r="484" spans="15:15" ht="12.75">
      <c r="O484" s="57"/>
    </row>
    <row r="485" spans="15:15" ht="12.75">
      <c r="O485" s="57"/>
    </row>
    <row r="486" spans="15:15" ht="12.75">
      <c r="O486" s="57"/>
    </row>
    <row r="487" spans="15:15" ht="12.75">
      <c r="O487" s="57"/>
    </row>
    <row r="488" spans="15:15" ht="12.75">
      <c r="O488" s="57"/>
    </row>
    <row r="489" spans="15:15" ht="12.75">
      <c r="O489" s="57"/>
    </row>
    <row r="490" spans="15:15" ht="12.75">
      <c r="O490" s="57"/>
    </row>
    <row r="491" spans="15:15" ht="12.75">
      <c r="O491" s="57"/>
    </row>
    <row r="492" spans="15:15" ht="12.75">
      <c r="O492" s="57"/>
    </row>
    <row r="493" spans="15:15" ht="12.75">
      <c r="O493" s="57"/>
    </row>
    <row r="494" spans="15:15" ht="12.75">
      <c r="O494" s="57"/>
    </row>
    <row r="495" spans="15:15" ht="12.75">
      <c r="O495" s="57"/>
    </row>
    <row r="496" spans="15:15" ht="12.75">
      <c r="O496" s="57"/>
    </row>
    <row r="497" spans="15:15" ht="12.75">
      <c r="O497" s="57"/>
    </row>
    <row r="498" spans="15:15" ht="12.75">
      <c r="O498" s="57"/>
    </row>
    <row r="499" spans="15:15" ht="12.75">
      <c r="O499" s="57"/>
    </row>
    <row r="500" spans="15:15" ht="12.75">
      <c r="O500" s="57"/>
    </row>
    <row r="501" spans="15:15" ht="12.75">
      <c r="O501" s="57"/>
    </row>
    <row r="502" spans="15:15" ht="12.75">
      <c r="O502" s="57"/>
    </row>
    <row r="503" spans="15:15" ht="12.75">
      <c r="O503" s="57"/>
    </row>
    <row r="504" spans="15:15" ht="12.75">
      <c r="O504" s="57"/>
    </row>
    <row r="505" spans="15:15" ht="12.75">
      <c r="O505" s="57"/>
    </row>
    <row r="506" spans="15:15" ht="12.75">
      <c r="O506" s="57"/>
    </row>
    <row r="507" spans="15:15" ht="12.75">
      <c r="O507" s="57"/>
    </row>
    <row r="508" spans="15:15" ht="12.75">
      <c r="O508" s="57"/>
    </row>
    <row r="509" spans="15:15" ht="12.75">
      <c r="O509" s="57"/>
    </row>
    <row r="510" spans="15:15" ht="12.75">
      <c r="O510" s="57"/>
    </row>
    <row r="511" spans="15:15" ht="12.75">
      <c r="O511" s="57"/>
    </row>
    <row r="512" spans="15:15" ht="12.75">
      <c r="O512" s="57"/>
    </row>
    <row r="513" spans="15:15" ht="12.75">
      <c r="O513" s="57"/>
    </row>
    <row r="514" spans="15:15" ht="12.75">
      <c r="O514" s="57"/>
    </row>
    <row r="515" spans="15:15" ht="12.75">
      <c r="O515" s="57"/>
    </row>
    <row r="516" spans="15:15" ht="12.75">
      <c r="O516" s="57"/>
    </row>
    <row r="517" spans="15:15" ht="12.75">
      <c r="O517" s="57"/>
    </row>
    <row r="518" spans="15:15" ht="12.75">
      <c r="O518" s="57"/>
    </row>
    <row r="519" spans="15:15" ht="12.75">
      <c r="O519" s="57"/>
    </row>
    <row r="520" spans="15:15" ht="12.75">
      <c r="O520" s="57"/>
    </row>
    <row r="521" spans="15:15" ht="12.75">
      <c r="O521" s="57"/>
    </row>
    <row r="522" spans="15:15" ht="12.75">
      <c r="O522" s="57"/>
    </row>
    <row r="523" spans="15:15" ht="12.75">
      <c r="O523" s="57"/>
    </row>
    <row r="524" spans="15:15" ht="12.75">
      <c r="O524" s="57"/>
    </row>
    <row r="525" spans="15:15" ht="12.75">
      <c r="O525" s="57"/>
    </row>
    <row r="526" spans="15:15" ht="12.75">
      <c r="O526" s="57"/>
    </row>
    <row r="527" spans="15:15" ht="12.75">
      <c r="O527" s="57"/>
    </row>
    <row r="528" spans="15:15" ht="12.75">
      <c r="O528" s="57"/>
    </row>
    <row r="529" spans="15:15" ht="12.75">
      <c r="O529" s="57"/>
    </row>
    <row r="530" spans="15:15" ht="12.75">
      <c r="O530" s="57"/>
    </row>
    <row r="531" spans="15:15" ht="12.75">
      <c r="O531" s="57"/>
    </row>
    <row r="532" spans="15:15" ht="12.75">
      <c r="O532" s="57"/>
    </row>
    <row r="533" spans="15:15" ht="12.75">
      <c r="O533" s="57"/>
    </row>
    <row r="534" spans="15:15" ht="12.75">
      <c r="O534" s="57"/>
    </row>
    <row r="535" spans="15:15" ht="12.75">
      <c r="O535" s="57"/>
    </row>
    <row r="536" spans="15:15" ht="12.75">
      <c r="O536" s="57"/>
    </row>
    <row r="537" spans="15:15" ht="12.75">
      <c r="O537" s="57"/>
    </row>
    <row r="538" spans="15:15" ht="12.75">
      <c r="O538" s="57"/>
    </row>
    <row r="539" spans="15:15" ht="12.75">
      <c r="O539" s="57"/>
    </row>
    <row r="540" spans="15:15" ht="12.75">
      <c r="O540" s="57"/>
    </row>
    <row r="541" spans="15:15" ht="12.75">
      <c r="O541" s="57"/>
    </row>
    <row r="542" spans="15:15" ht="12.75">
      <c r="O542" s="57"/>
    </row>
    <row r="543" spans="15:15" ht="12.75">
      <c r="O543" s="57"/>
    </row>
    <row r="544" spans="15:15" ht="12.75">
      <c r="O544" s="57"/>
    </row>
    <row r="545" spans="15:15" ht="12.75">
      <c r="O545" s="57"/>
    </row>
    <row r="546" spans="15:15" ht="12.75">
      <c r="O546" s="57"/>
    </row>
    <row r="547" spans="15:15" ht="12.75">
      <c r="O547" s="57"/>
    </row>
    <row r="548" spans="15:15" ht="12.75">
      <c r="O548" s="57"/>
    </row>
    <row r="549" spans="15:15" ht="12.75">
      <c r="O549" s="57"/>
    </row>
    <row r="550" spans="15:15" ht="12.75">
      <c r="O550" s="57"/>
    </row>
    <row r="551" spans="15:15" ht="12.75">
      <c r="O551" s="57"/>
    </row>
    <row r="552" spans="15:15" ht="12.75">
      <c r="O552" s="57"/>
    </row>
    <row r="553" spans="15:15" ht="12.75">
      <c r="O553" s="57"/>
    </row>
    <row r="554" spans="15:15" ht="12.75">
      <c r="O554" s="57"/>
    </row>
    <row r="555" spans="15:15" ht="12.75">
      <c r="O555" s="57"/>
    </row>
    <row r="556" spans="15:15" ht="12.75">
      <c r="O556" s="57"/>
    </row>
    <row r="557" spans="15:15" ht="12.75">
      <c r="O557" s="57"/>
    </row>
    <row r="558" spans="15:15" ht="12.75">
      <c r="O558" s="57"/>
    </row>
    <row r="559" spans="15:15" ht="12.75">
      <c r="O559" s="57"/>
    </row>
    <row r="560" spans="15:15" ht="12.75">
      <c r="O560" s="57"/>
    </row>
    <row r="561" spans="15:15" ht="12.75">
      <c r="O561" s="57"/>
    </row>
    <row r="562" spans="15:15" ht="12.75">
      <c r="O562" s="57"/>
    </row>
    <row r="563" spans="15:15" ht="12.75">
      <c r="O563" s="57"/>
    </row>
    <row r="564" spans="15:15" ht="12.75">
      <c r="O564" s="57"/>
    </row>
    <row r="565" spans="15:15" ht="12.75">
      <c r="O565" s="57"/>
    </row>
    <row r="566" spans="15:15" ht="12.75">
      <c r="O566" s="57"/>
    </row>
    <row r="567" spans="15:15" ht="12.75">
      <c r="O567" s="57"/>
    </row>
    <row r="568" spans="15:15" ht="12.75">
      <c r="O568" s="57"/>
    </row>
    <row r="569" spans="15:15" ht="12.75">
      <c r="O569" s="57"/>
    </row>
    <row r="570" spans="15:15" ht="12.75">
      <c r="O570" s="57"/>
    </row>
    <row r="571" spans="15:15" ht="12.75">
      <c r="O571" s="57"/>
    </row>
    <row r="572" spans="15:15" ht="12.75">
      <c r="O572" s="57"/>
    </row>
    <row r="573" spans="15:15" ht="12.75">
      <c r="O573" s="57"/>
    </row>
    <row r="574" spans="15:15" ht="12.75">
      <c r="O574" s="57"/>
    </row>
    <row r="575" spans="15:15" ht="12.75">
      <c r="O575" s="57"/>
    </row>
    <row r="576" spans="15:15" ht="12.75">
      <c r="O576" s="57"/>
    </row>
    <row r="577" spans="15:15" ht="12.75">
      <c r="O577" s="57"/>
    </row>
    <row r="578" spans="15:15" ht="12.75">
      <c r="O578" s="57"/>
    </row>
    <row r="579" spans="15:15" ht="12.75">
      <c r="O579" s="57"/>
    </row>
    <row r="580" spans="15:15" ht="12.75">
      <c r="O580" s="57"/>
    </row>
    <row r="581" spans="15:15" ht="12.75">
      <c r="O581" s="57"/>
    </row>
    <row r="582" spans="15:15" ht="12.75">
      <c r="O582" s="57"/>
    </row>
    <row r="583" spans="15:15" ht="12.75">
      <c r="O583" s="57"/>
    </row>
    <row r="584" spans="15:15" ht="12.75">
      <c r="O584" s="57"/>
    </row>
    <row r="585" spans="15:15" ht="12.75">
      <c r="O585" s="57"/>
    </row>
    <row r="586" spans="15:15" ht="12.75">
      <c r="O586" s="57"/>
    </row>
    <row r="587" spans="15:15" ht="12.75">
      <c r="O587" s="57"/>
    </row>
    <row r="588" spans="15:15" ht="12.75">
      <c r="O588" s="57"/>
    </row>
    <row r="589" spans="15:15" ht="12.75">
      <c r="O589" s="57"/>
    </row>
    <row r="590" spans="15:15" ht="12.75">
      <c r="O590" s="57"/>
    </row>
    <row r="591" spans="15:15" ht="12.75">
      <c r="O591" s="57"/>
    </row>
    <row r="592" spans="15:15" ht="12.75">
      <c r="O592" s="57"/>
    </row>
    <row r="593" spans="15:15" ht="12.75">
      <c r="O593" s="57"/>
    </row>
    <row r="594" spans="15:15" ht="12.75">
      <c r="O594" s="57"/>
    </row>
    <row r="595" spans="15:15" ht="12.75">
      <c r="O595" s="57"/>
    </row>
    <row r="596" spans="15:15" ht="12.75">
      <c r="O596" s="57"/>
    </row>
    <row r="597" spans="15:15" ht="12.75">
      <c r="O597" s="57"/>
    </row>
    <row r="598" spans="15:15" ht="12.75">
      <c r="O598" s="57"/>
    </row>
    <row r="599" spans="15:15" ht="12.75">
      <c r="O599" s="57"/>
    </row>
    <row r="600" spans="15:15" ht="12.75">
      <c r="O600" s="57"/>
    </row>
    <row r="601" spans="15:15" ht="12.75">
      <c r="O601" s="57"/>
    </row>
    <row r="602" spans="15:15" ht="12.75">
      <c r="O602" s="57"/>
    </row>
    <row r="603" spans="15:15" ht="12.75">
      <c r="O603" s="57"/>
    </row>
    <row r="604" spans="15:15" ht="12.75">
      <c r="O604" s="57"/>
    </row>
    <row r="605" spans="15:15" ht="12.75">
      <c r="O605" s="57"/>
    </row>
    <row r="606" spans="15:15" ht="12.75">
      <c r="O606" s="57"/>
    </row>
    <row r="607" spans="15:15" ht="12.75">
      <c r="O607" s="57"/>
    </row>
    <row r="608" spans="15:15" ht="12.75">
      <c r="O608" s="57"/>
    </row>
    <row r="609" spans="15:15" ht="12.75">
      <c r="O609" s="57"/>
    </row>
    <row r="610" spans="15:15" ht="12.75">
      <c r="O610" s="57"/>
    </row>
    <row r="611" spans="15:15" ht="12.75">
      <c r="O611" s="57"/>
    </row>
    <row r="612" spans="15:15" ht="12.75">
      <c r="O612" s="57"/>
    </row>
    <row r="613" spans="15:15" ht="12.75">
      <c r="O613" s="57"/>
    </row>
    <row r="614" spans="15:15" ht="12.75">
      <c r="O614" s="57"/>
    </row>
    <row r="615" spans="15:15" ht="12.75">
      <c r="O615" s="57"/>
    </row>
    <row r="616" spans="15:15" ht="12.75">
      <c r="O616" s="57"/>
    </row>
    <row r="617" spans="15:15" ht="12.75">
      <c r="O617" s="57"/>
    </row>
    <row r="618" spans="15:15" ht="12.75">
      <c r="O618" s="57"/>
    </row>
    <row r="619" spans="15:15" ht="12.75">
      <c r="O619" s="57"/>
    </row>
    <row r="620" spans="15:15" ht="12.75">
      <c r="O620" s="57"/>
    </row>
    <row r="621" spans="15:15" ht="12.75">
      <c r="O621" s="57"/>
    </row>
    <row r="622" spans="15:15" ht="12.75">
      <c r="O622" s="57"/>
    </row>
    <row r="623" spans="15:15" ht="12.75">
      <c r="O623" s="57"/>
    </row>
    <row r="624" spans="15:15" ht="12.75">
      <c r="O624" s="57"/>
    </row>
    <row r="625" spans="15:15" ht="12.75">
      <c r="O625" s="57"/>
    </row>
    <row r="626" spans="15:15" ht="12.75">
      <c r="O626" s="57"/>
    </row>
    <row r="627" spans="15:15" ht="12.75">
      <c r="O627" s="57"/>
    </row>
    <row r="628" spans="15:15" ht="12.75">
      <c r="O628" s="57"/>
    </row>
    <row r="629" spans="15:15" ht="12.75">
      <c r="O629" s="57"/>
    </row>
    <row r="630" spans="15:15" ht="12.75">
      <c r="O630" s="57"/>
    </row>
    <row r="631" spans="15:15" ht="12.75">
      <c r="O631" s="57"/>
    </row>
    <row r="632" spans="15:15" ht="12.75">
      <c r="O632" s="57"/>
    </row>
    <row r="633" spans="15:15" ht="12.75">
      <c r="O633" s="57"/>
    </row>
    <row r="634" spans="15:15" ht="12.75">
      <c r="O634" s="57"/>
    </row>
    <row r="635" spans="15:15" ht="12.75">
      <c r="O635" s="57"/>
    </row>
    <row r="636" spans="15:15" ht="12.75">
      <c r="O636" s="57"/>
    </row>
    <row r="637" spans="15:15" ht="12.75">
      <c r="O637" s="57"/>
    </row>
    <row r="638" spans="15:15" ht="12.75">
      <c r="O638" s="57"/>
    </row>
    <row r="639" spans="15:15" ht="12.75">
      <c r="O639" s="57"/>
    </row>
    <row r="640" spans="15:15" ht="12.75">
      <c r="O640" s="57"/>
    </row>
    <row r="641" spans="15:15" ht="12.75">
      <c r="O641" s="57"/>
    </row>
    <row r="642" spans="15:15" ht="12.75">
      <c r="O642" s="57"/>
    </row>
    <row r="643" spans="15:15" ht="12.75">
      <c r="O643" s="57"/>
    </row>
    <row r="644" spans="15:15" ht="12.75">
      <c r="O644" s="57"/>
    </row>
    <row r="645" spans="15:15" ht="12.75">
      <c r="O645" s="57"/>
    </row>
    <row r="646" spans="15:15" ht="12.75">
      <c r="O646" s="57"/>
    </row>
    <row r="647" spans="15:15" ht="12.75">
      <c r="O647" s="57"/>
    </row>
    <row r="648" spans="15:15" ht="12.75">
      <c r="O648" s="57"/>
    </row>
    <row r="649" spans="15:15" ht="12.75">
      <c r="O649" s="57"/>
    </row>
    <row r="650" spans="15:15" ht="12.75">
      <c r="O650" s="57"/>
    </row>
    <row r="651" spans="15:15" ht="12.75">
      <c r="O651" s="57"/>
    </row>
    <row r="652" spans="15:15" ht="12.75">
      <c r="O652" s="57"/>
    </row>
    <row r="653" spans="15:15" ht="12.75">
      <c r="O653" s="57"/>
    </row>
    <row r="654" spans="15:15" ht="12.75">
      <c r="O654" s="57"/>
    </row>
    <row r="655" spans="15:15" ht="12.75">
      <c r="O655" s="57"/>
    </row>
    <row r="656" spans="15:15" ht="12.75">
      <c r="O656" s="57"/>
    </row>
    <row r="657" spans="15:15" ht="12.75">
      <c r="O657" s="57"/>
    </row>
    <row r="658" spans="15:15" ht="12.75">
      <c r="O658" s="57"/>
    </row>
    <row r="659" spans="15:15" ht="12.75">
      <c r="O659" s="57"/>
    </row>
    <row r="660" spans="15:15" ht="12.75">
      <c r="O660" s="57"/>
    </row>
    <row r="661" spans="15:15" ht="12.75">
      <c r="O661" s="57"/>
    </row>
    <row r="662" spans="15:15" ht="12.75">
      <c r="O662" s="57"/>
    </row>
    <row r="663" spans="15:15" ht="12.75">
      <c r="O663" s="57"/>
    </row>
    <row r="664" spans="15:15" ht="12.75">
      <c r="O664" s="57"/>
    </row>
    <row r="665" spans="15:15" ht="12.75">
      <c r="O665" s="57"/>
    </row>
    <row r="666" spans="15:15" ht="12.75">
      <c r="O666" s="57"/>
    </row>
    <row r="667" spans="15:15" ht="12.75">
      <c r="O667" s="57"/>
    </row>
    <row r="668" spans="15:15" ht="12.75">
      <c r="O668" s="57"/>
    </row>
    <row r="669" spans="15:15" ht="12.75">
      <c r="O669" s="57"/>
    </row>
    <row r="670" spans="15:15" ht="12.75">
      <c r="O670" s="57"/>
    </row>
    <row r="671" spans="15:15" ht="12.75">
      <c r="O671" s="57"/>
    </row>
    <row r="672" spans="15:15" ht="12.75">
      <c r="O672" s="57"/>
    </row>
    <row r="673" spans="15:15" ht="12.75">
      <c r="O673" s="57"/>
    </row>
    <row r="674" spans="15:15" ht="12.75">
      <c r="O674" s="57"/>
    </row>
    <row r="675" spans="15:15" ht="12.75">
      <c r="O675" s="57"/>
    </row>
    <row r="676" spans="15:15" ht="12.75">
      <c r="O676" s="57"/>
    </row>
    <row r="677" spans="15:15" ht="12.75">
      <c r="O677" s="57"/>
    </row>
    <row r="678" spans="15:15" ht="12.75">
      <c r="O678" s="57"/>
    </row>
    <row r="679" spans="15:15" ht="12.75">
      <c r="O679" s="57"/>
    </row>
    <row r="680" spans="15:15" ht="12.75">
      <c r="O680" s="57"/>
    </row>
    <row r="681" spans="15:15" ht="12.75">
      <c r="O681" s="57"/>
    </row>
    <row r="682" spans="15:15" ht="12.75">
      <c r="O682" s="57"/>
    </row>
    <row r="683" spans="15:15" ht="12.75">
      <c r="O683" s="57"/>
    </row>
    <row r="684" spans="15:15" ht="12.75">
      <c r="O684" s="57"/>
    </row>
    <row r="685" spans="15:15" ht="12.75">
      <c r="O685" s="57"/>
    </row>
    <row r="686" spans="15:15" ht="12.75">
      <c r="O686" s="57"/>
    </row>
    <row r="687" spans="15:15" ht="12.75">
      <c r="O687" s="57"/>
    </row>
    <row r="688" spans="15:15" ht="12.75">
      <c r="O688" s="57"/>
    </row>
    <row r="689" spans="15:15" ht="12.75">
      <c r="O689" s="57"/>
    </row>
    <row r="690" spans="15:15" ht="12.75">
      <c r="O690" s="57"/>
    </row>
    <row r="691" spans="15:15" ht="12.75">
      <c r="O691" s="57"/>
    </row>
    <row r="692" spans="15:15" ht="12.75">
      <c r="O692" s="57"/>
    </row>
    <row r="693" spans="15:15" ht="12.75">
      <c r="O693" s="57"/>
    </row>
    <row r="694" spans="15:15" ht="12.75">
      <c r="O694" s="57"/>
    </row>
    <row r="695" spans="15:15" ht="12.75">
      <c r="O695" s="57"/>
    </row>
    <row r="696" spans="15:15" ht="12.75">
      <c r="O696" s="57"/>
    </row>
    <row r="697" spans="15:15" ht="12.75">
      <c r="O697" s="57"/>
    </row>
    <row r="698" spans="15:15" ht="12.75">
      <c r="O698" s="57"/>
    </row>
    <row r="699" spans="15:15" ht="12.75">
      <c r="O699" s="57"/>
    </row>
    <row r="700" spans="15:15" ht="12.75">
      <c r="O700" s="57"/>
    </row>
    <row r="701" spans="15:15" ht="12.75">
      <c r="O701" s="57"/>
    </row>
    <row r="702" spans="15:15" ht="12.75">
      <c r="O702" s="57"/>
    </row>
    <row r="703" spans="15:15" ht="12.75">
      <c r="O703" s="57"/>
    </row>
    <row r="704" spans="15:15" ht="12.75">
      <c r="O704" s="57"/>
    </row>
    <row r="705" spans="15:15" ht="12.75">
      <c r="O705" s="57"/>
    </row>
    <row r="706" spans="15:15" ht="12.75">
      <c r="O706" s="57"/>
    </row>
    <row r="707" spans="15:15" ht="12.75">
      <c r="O707" s="57"/>
    </row>
    <row r="708" spans="15:15" ht="12.75">
      <c r="O708" s="57"/>
    </row>
    <row r="709" spans="15:15" ht="12.75">
      <c r="O709" s="57"/>
    </row>
    <row r="710" spans="15:15" ht="12.75">
      <c r="O710" s="57"/>
    </row>
    <row r="711" spans="15:15" ht="12.75">
      <c r="O711" s="57"/>
    </row>
    <row r="712" spans="15:15" ht="12.75">
      <c r="O712" s="57"/>
    </row>
    <row r="713" spans="15:15" ht="12.75">
      <c r="O713" s="57"/>
    </row>
    <row r="714" spans="15:15" ht="12.75">
      <c r="O714" s="57"/>
    </row>
    <row r="715" spans="15:15" ht="12.75">
      <c r="O715" s="57"/>
    </row>
    <row r="716" spans="15:15" ht="12.75">
      <c r="O716" s="57"/>
    </row>
    <row r="717" spans="15:15" ht="12.75">
      <c r="O717" s="57"/>
    </row>
    <row r="718" spans="15:15" ht="12.75">
      <c r="O718" s="57"/>
    </row>
    <row r="719" spans="15:15" ht="12.75">
      <c r="O719" s="57"/>
    </row>
    <row r="720" spans="15:15" ht="12.75">
      <c r="O720" s="57"/>
    </row>
    <row r="721" spans="15:15" ht="12.75">
      <c r="O721" s="57"/>
    </row>
    <row r="722" spans="15:15" ht="12.75">
      <c r="O722" s="57"/>
    </row>
    <row r="723" spans="15:15" ht="12.75">
      <c r="O723" s="57"/>
    </row>
    <row r="724" spans="15:15" ht="12.75">
      <c r="O724" s="57"/>
    </row>
    <row r="725" spans="15:15" ht="12.75">
      <c r="O725" s="57"/>
    </row>
    <row r="726" spans="15:15" ht="12.75">
      <c r="O726" s="57"/>
    </row>
    <row r="727" spans="15:15" ht="12.75">
      <c r="O727" s="57"/>
    </row>
    <row r="728" spans="15:15" ht="12.75">
      <c r="O728" s="57"/>
    </row>
    <row r="729" spans="15:15" ht="12.75">
      <c r="O729" s="57"/>
    </row>
    <row r="730" spans="15:15" ht="12.75">
      <c r="O730" s="57"/>
    </row>
    <row r="731" spans="15:15" ht="12.75">
      <c r="O731" s="57"/>
    </row>
    <row r="732" spans="15:15" ht="12.75">
      <c r="O732" s="57"/>
    </row>
    <row r="733" spans="15:15" ht="12.75">
      <c r="O733" s="57"/>
    </row>
    <row r="734" spans="15:15" ht="12.75">
      <c r="O734" s="57"/>
    </row>
    <row r="735" spans="15:15" ht="12.75">
      <c r="O735" s="57"/>
    </row>
    <row r="736" spans="15:15" ht="12.75">
      <c r="O736" s="57"/>
    </row>
    <row r="737" spans="15:15" ht="12.75">
      <c r="O737" s="57"/>
    </row>
    <row r="738" spans="15:15" ht="12.75">
      <c r="O738" s="57"/>
    </row>
    <row r="739" spans="15:15" ht="12.75">
      <c r="O739" s="57"/>
    </row>
    <row r="740" spans="15:15" ht="12.75">
      <c r="O740" s="57"/>
    </row>
    <row r="741" spans="15:15" ht="12.75">
      <c r="O741" s="57"/>
    </row>
    <row r="742" spans="15:15" ht="12.75">
      <c r="O742" s="57"/>
    </row>
    <row r="743" spans="15:15" ht="12.75">
      <c r="O743" s="57"/>
    </row>
    <row r="744" spans="15:15" ht="12.75">
      <c r="O744" s="57"/>
    </row>
    <row r="745" spans="15:15" ht="12.75">
      <c r="O745" s="57"/>
    </row>
    <row r="746" spans="15:15" ht="12.75">
      <c r="O746" s="57"/>
    </row>
    <row r="747" spans="15:15" ht="12.75">
      <c r="O747" s="57"/>
    </row>
    <row r="748" spans="15:15" ht="12.75">
      <c r="O748" s="57"/>
    </row>
    <row r="749" spans="15:15" ht="12.75">
      <c r="O749" s="57"/>
    </row>
    <row r="750" spans="15:15" ht="12.75">
      <c r="O750" s="57"/>
    </row>
    <row r="751" spans="15:15" ht="12.75">
      <c r="O751" s="57"/>
    </row>
    <row r="752" spans="15:15" ht="12.75">
      <c r="O752" s="57"/>
    </row>
    <row r="753" spans="15:15" ht="12.75">
      <c r="O753" s="57"/>
    </row>
    <row r="754" spans="15:15" ht="12.75">
      <c r="O754" s="57"/>
    </row>
    <row r="755" spans="15:15" ht="12.75">
      <c r="O755" s="57"/>
    </row>
    <row r="756" spans="15:15" ht="12.75">
      <c r="O756" s="57"/>
    </row>
    <row r="757" spans="15:15" ht="12.75">
      <c r="O757" s="57"/>
    </row>
    <row r="758" spans="15:15" ht="12.75">
      <c r="O758" s="57"/>
    </row>
    <row r="759" spans="15:15" ht="12.75">
      <c r="O759" s="57"/>
    </row>
    <row r="760" spans="15:15" ht="12.75">
      <c r="O760" s="57"/>
    </row>
    <row r="761" spans="15:15" ht="12.75">
      <c r="O761" s="57"/>
    </row>
    <row r="762" spans="15:15" ht="12.75">
      <c r="O762" s="57"/>
    </row>
    <row r="763" spans="15:15" ht="12.75">
      <c r="O763" s="57"/>
    </row>
    <row r="764" spans="15:15" ht="12.75">
      <c r="O764" s="57"/>
    </row>
    <row r="765" spans="15:15" ht="12.75">
      <c r="O765" s="57"/>
    </row>
    <row r="766" spans="15:15" ht="12.75">
      <c r="O766" s="57"/>
    </row>
    <row r="767" spans="15:15" ht="12.75">
      <c r="O767" s="57"/>
    </row>
    <row r="768" spans="15:15" ht="12.75">
      <c r="O768" s="57"/>
    </row>
    <row r="769" spans="15:15" ht="12.75">
      <c r="O769" s="57"/>
    </row>
    <row r="770" spans="15:15" ht="12.75">
      <c r="O770" s="57"/>
    </row>
    <row r="771" spans="15:15" ht="12.75">
      <c r="O771" s="57"/>
    </row>
    <row r="772" spans="15:15" ht="12.75">
      <c r="O772" s="57"/>
    </row>
    <row r="773" spans="15:15" ht="12.75">
      <c r="O773" s="57"/>
    </row>
    <row r="774" spans="15:15" ht="12.75">
      <c r="O774" s="57"/>
    </row>
    <row r="775" spans="15:15" ht="12.75">
      <c r="O775" s="57"/>
    </row>
    <row r="776" spans="15:15" ht="12.75">
      <c r="O776" s="57"/>
    </row>
    <row r="777" spans="15:15" ht="12.75">
      <c r="O777" s="57"/>
    </row>
    <row r="778" spans="15:15" ht="12.75">
      <c r="O778" s="57"/>
    </row>
    <row r="779" spans="15:15" ht="12.75">
      <c r="O779" s="57"/>
    </row>
    <row r="780" spans="15:15" ht="12.75">
      <c r="O780" s="57"/>
    </row>
    <row r="781" spans="15:15" ht="12.75">
      <c r="O781" s="57"/>
    </row>
    <row r="782" spans="15:15" ht="12.75">
      <c r="O782" s="57"/>
    </row>
    <row r="783" spans="15:15" ht="12.75">
      <c r="O783" s="57"/>
    </row>
    <row r="784" spans="15:15" ht="12.75">
      <c r="O784" s="57"/>
    </row>
    <row r="785" spans="15:15" ht="12.75">
      <c r="O785" s="57"/>
    </row>
    <row r="786" spans="15:15" ht="12.75">
      <c r="O786" s="57"/>
    </row>
    <row r="787" spans="15:15" ht="12.75">
      <c r="O787" s="57"/>
    </row>
    <row r="788" spans="15:15" ht="12.75">
      <c r="O788" s="57"/>
    </row>
    <row r="789" spans="15:15" ht="12.75">
      <c r="O789" s="57"/>
    </row>
    <row r="790" spans="15:15" ht="12.75">
      <c r="O790" s="57"/>
    </row>
    <row r="791" spans="15:15" ht="12.75">
      <c r="O791" s="57"/>
    </row>
    <row r="792" spans="15:15" ht="12.75">
      <c r="O792" s="57"/>
    </row>
    <row r="793" spans="15:15" ht="12.75">
      <c r="O793" s="57"/>
    </row>
    <row r="794" spans="15:15" ht="12.75">
      <c r="O794" s="57"/>
    </row>
    <row r="795" spans="15:15" ht="12.75">
      <c r="O795" s="57"/>
    </row>
    <row r="796" spans="15:15" ht="12.75">
      <c r="O796" s="57"/>
    </row>
    <row r="797" spans="15:15" ht="12.75">
      <c r="O797" s="57"/>
    </row>
    <row r="798" spans="15:15" ht="12.75">
      <c r="O798" s="57"/>
    </row>
    <row r="799" spans="15:15" ht="12.75">
      <c r="O799" s="57"/>
    </row>
    <row r="800" spans="15:15" ht="12.75">
      <c r="O800" s="57"/>
    </row>
    <row r="801" spans="15:15" ht="12.75">
      <c r="O801" s="57"/>
    </row>
    <row r="802" spans="15:15" ht="12.75">
      <c r="O802" s="57"/>
    </row>
    <row r="803" spans="15:15" ht="12.75">
      <c r="O803" s="57"/>
    </row>
    <row r="804" spans="15:15" ht="12.75">
      <c r="O804" s="57"/>
    </row>
    <row r="805" spans="15:15" ht="12.75">
      <c r="O805" s="57"/>
    </row>
    <row r="806" spans="15:15" ht="12.75">
      <c r="O806" s="57"/>
    </row>
    <row r="807" spans="15:15" ht="12.75">
      <c r="O807" s="57"/>
    </row>
    <row r="808" spans="15:15" ht="12.75">
      <c r="O808" s="57"/>
    </row>
    <row r="809" spans="15:15" ht="12.75">
      <c r="O809" s="57"/>
    </row>
    <row r="810" spans="15:15" ht="12.75">
      <c r="O810" s="57"/>
    </row>
    <row r="811" spans="15:15" ht="12.75">
      <c r="O811" s="57"/>
    </row>
    <row r="812" spans="15:15" ht="12.75">
      <c r="O812" s="57"/>
    </row>
    <row r="813" spans="15:15" ht="12.75">
      <c r="O813" s="57"/>
    </row>
    <row r="814" spans="15:15" ht="12.75">
      <c r="O814" s="57"/>
    </row>
    <row r="815" spans="15:15" ht="12.75">
      <c r="O815" s="57"/>
    </row>
    <row r="816" spans="15:15" ht="12.75">
      <c r="O816" s="57"/>
    </row>
    <row r="817" spans="15:15" ht="12.75">
      <c r="O817" s="57"/>
    </row>
    <row r="818" spans="15:15" ht="12.75">
      <c r="O818" s="57"/>
    </row>
    <row r="819" spans="15:15" ht="12.75">
      <c r="O819" s="57"/>
    </row>
    <row r="820" spans="15:15" ht="12.75">
      <c r="O820" s="57"/>
    </row>
    <row r="821" spans="15:15" ht="12.75">
      <c r="O821" s="57"/>
    </row>
    <row r="822" spans="15:15" ht="12.75">
      <c r="O822" s="57"/>
    </row>
    <row r="823" spans="15:15" ht="12.75">
      <c r="O823" s="57"/>
    </row>
    <row r="824" spans="15:15" ht="12.75">
      <c r="O824" s="57"/>
    </row>
    <row r="825" spans="15:15" ht="12.75">
      <c r="O825" s="57"/>
    </row>
    <row r="826" spans="15:15" ht="12.75">
      <c r="O826" s="57"/>
    </row>
    <row r="827" spans="15:15" ht="12.75">
      <c r="O827" s="57"/>
    </row>
    <row r="828" spans="15:15" ht="12.75">
      <c r="O828" s="57"/>
    </row>
    <row r="829" spans="15:15" ht="12.75">
      <c r="O829" s="57"/>
    </row>
    <row r="830" spans="15:15" ht="12.75">
      <c r="O830" s="57"/>
    </row>
    <row r="831" spans="15:15" ht="12.75">
      <c r="O831" s="57"/>
    </row>
    <row r="832" spans="15:15" ht="12.75">
      <c r="O832" s="57"/>
    </row>
    <row r="833" spans="15:15" ht="12.75">
      <c r="O833" s="57"/>
    </row>
    <row r="834" spans="15:15" ht="12.75">
      <c r="O834" s="57"/>
    </row>
    <row r="835" spans="15:15" ht="12.75">
      <c r="O835" s="57"/>
    </row>
    <row r="836" spans="15:15" ht="12.75">
      <c r="O836" s="57"/>
    </row>
    <row r="837" spans="15:15" ht="12.75">
      <c r="O837" s="57"/>
    </row>
    <row r="838" spans="15:15" ht="12.75">
      <c r="O838" s="57"/>
    </row>
    <row r="839" spans="15:15" ht="12.75">
      <c r="O839" s="57"/>
    </row>
    <row r="840" spans="15:15" ht="12.75">
      <c r="O840" s="57"/>
    </row>
    <row r="841" spans="15:15" ht="12.75">
      <c r="O841" s="57"/>
    </row>
    <row r="842" spans="15:15" ht="12.75">
      <c r="O842" s="57"/>
    </row>
    <row r="843" spans="15:15" ht="12.75">
      <c r="O843" s="57"/>
    </row>
    <row r="844" spans="15:15" ht="12.75">
      <c r="O844" s="57"/>
    </row>
    <row r="845" spans="15:15" ht="12.75">
      <c r="O845" s="57"/>
    </row>
    <row r="846" spans="15:15" ht="12.75">
      <c r="O846" s="57"/>
    </row>
    <row r="847" spans="15:15" ht="12.75">
      <c r="O847" s="57"/>
    </row>
    <row r="848" spans="15:15" ht="12.75">
      <c r="O848" s="57"/>
    </row>
    <row r="849" spans="15:15" ht="12.75">
      <c r="O849" s="57"/>
    </row>
    <row r="850" spans="15:15" ht="12.75">
      <c r="O850" s="57"/>
    </row>
    <row r="851" spans="15:15" ht="12.75">
      <c r="O851" s="57"/>
    </row>
    <row r="852" spans="15:15" ht="12.75">
      <c r="O852" s="57"/>
    </row>
    <row r="853" spans="15:15" ht="12.75">
      <c r="O853" s="57"/>
    </row>
    <row r="854" spans="15:15" ht="12.75">
      <c r="O854" s="57"/>
    </row>
    <row r="855" spans="15:15" ht="12.75">
      <c r="O855" s="57"/>
    </row>
    <row r="856" spans="15:15" ht="12.75">
      <c r="O856" s="57"/>
    </row>
    <row r="857" spans="15:15" ht="12.75">
      <c r="O857" s="57"/>
    </row>
    <row r="858" spans="15:15" ht="12.75">
      <c r="O858" s="57"/>
    </row>
    <row r="859" spans="15:15" ht="12.75">
      <c r="O859" s="57"/>
    </row>
    <row r="860" spans="15:15" ht="12.75">
      <c r="O860" s="57"/>
    </row>
    <row r="861" spans="15:15" ht="12.75">
      <c r="O861" s="57"/>
    </row>
    <row r="862" spans="15:15" ht="12.75">
      <c r="O862" s="57"/>
    </row>
    <row r="863" spans="15:15" ht="12.75">
      <c r="O863" s="57"/>
    </row>
    <row r="864" spans="15:15" ht="12.75">
      <c r="O864" s="57"/>
    </row>
    <row r="865" spans="15:15" ht="12.75">
      <c r="O865" s="57"/>
    </row>
    <row r="866" spans="15:15" ht="12.75">
      <c r="O866" s="57"/>
    </row>
    <row r="867" spans="15:15" ht="12.75">
      <c r="O867" s="57"/>
    </row>
    <row r="868" spans="15:15" ht="12.75">
      <c r="O868" s="57"/>
    </row>
    <row r="869" spans="15:15" ht="12.75">
      <c r="O869" s="57"/>
    </row>
    <row r="870" spans="15:15" ht="12.75">
      <c r="O870" s="57"/>
    </row>
    <row r="871" spans="15:15" ht="12.75">
      <c r="O871" s="57"/>
    </row>
    <row r="872" spans="15:15" ht="12.75">
      <c r="O872" s="57"/>
    </row>
    <row r="873" spans="15:15" ht="12.75">
      <c r="O873" s="57"/>
    </row>
    <row r="874" spans="15:15" ht="12.75">
      <c r="O874" s="57"/>
    </row>
    <row r="875" spans="15:15" ht="12.75">
      <c r="O875" s="57"/>
    </row>
    <row r="876" spans="15:15" ht="12.75">
      <c r="O876" s="57"/>
    </row>
    <row r="877" spans="15:15" ht="12.75">
      <c r="O877" s="57"/>
    </row>
    <row r="878" spans="15:15" ht="12.75">
      <c r="O878" s="57"/>
    </row>
    <row r="879" spans="15:15" ht="12.75">
      <c r="O879" s="57"/>
    </row>
    <row r="880" spans="15:15" ht="12.75">
      <c r="O880" s="57"/>
    </row>
    <row r="881" spans="15:15" ht="12.75">
      <c r="O881" s="57"/>
    </row>
    <row r="882" spans="15:15" ht="12.75">
      <c r="O882" s="57"/>
    </row>
    <row r="883" spans="15:15" ht="12.75">
      <c r="O883" s="57"/>
    </row>
    <row r="884" spans="15:15" ht="12.75">
      <c r="O884" s="57"/>
    </row>
    <row r="885" spans="15:15" ht="12.75">
      <c r="O885" s="57"/>
    </row>
    <row r="886" spans="15:15" ht="12.75">
      <c r="O886" s="57"/>
    </row>
    <row r="887" spans="15:15" ht="12.75">
      <c r="O887" s="57"/>
    </row>
    <row r="888" spans="15:15" ht="12.75">
      <c r="O888" s="57"/>
    </row>
    <row r="889" spans="15:15" ht="12.75">
      <c r="O889" s="57"/>
    </row>
    <row r="890" spans="15:15" ht="12.75">
      <c r="O890" s="57"/>
    </row>
    <row r="891" spans="15:15" ht="12.75">
      <c r="O891" s="57"/>
    </row>
    <row r="892" spans="15:15" ht="12.75">
      <c r="O892" s="57"/>
    </row>
    <row r="893" spans="15:15" ht="12.75">
      <c r="O893" s="57"/>
    </row>
    <row r="894" spans="15:15" ht="12.75">
      <c r="O894" s="57"/>
    </row>
    <row r="895" spans="15:15" ht="12.75">
      <c r="O895" s="57"/>
    </row>
    <row r="896" spans="15:15" ht="12.75">
      <c r="O896" s="57"/>
    </row>
    <row r="897" spans="15:15" ht="12.75">
      <c r="O897" s="57"/>
    </row>
    <row r="898" spans="15:15" ht="12.75">
      <c r="O898" s="57"/>
    </row>
    <row r="899" spans="15:15" ht="12.75">
      <c r="O899" s="57"/>
    </row>
    <row r="900" spans="15:15" ht="12.75">
      <c r="O900" s="57"/>
    </row>
    <row r="901" spans="15:15" ht="12.75">
      <c r="O901" s="57"/>
    </row>
    <row r="902" spans="15:15" ht="12.75">
      <c r="O902" s="57"/>
    </row>
    <row r="903" spans="15:15" ht="12.75">
      <c r="O903" s="57"/>
    </row>
    <row r="904" spans="15:15" ht="12.75">
      <c r="O904" s="57"/>
    </row>
    <row r="905" spans="15:15" ht="12.75">
      <c r="O905" s="57"/>
    </row>
    <row r="906" spans="15:15" ht="12.75">
      <c r="O906" s="57"/>
    </row>
    <row r="907" spans="15:15" ht="12.75">
      <c r="O907" s="57"/>
    </row>
    <row r="908" spans="15:15" ht="12.75">
      <c r="O908" s="57"/>
    </row>
    <row r="909" spans="15:15" ht="12.75">
      <c r="O909" s="57"/>
    </row>
    <row r="910" spans="15:15" ht="12.75">
      <c r="O910" s="57"/>
    </row>
    <row r="911" spans="15:15" ht="12.75">
      <c r="O911" s="57"/>
    </row>
    <row r="912" spans="15:15" ht="12.75">
      <c r="O912" s="57"/>
    </row>
    <row r="913" spans="15:15" ht="12.75">
      <c r="O913" s="57"/>
    </row>
    <row r="914" spans="15:15" ht="12.75">
      <c r="O914" s="57"/>
    </row>
    <row r="915" spans="15:15" ht="12.75">
      <c r="O915" s="57"/>
    </row>
    <row r="916" spans="15:15" ht="12.75">
      <c r="O916" s="57"/>
    </row>
    <row r="917" spans="15:15" ht="12.75">
      <c r="O917" s="57"/>
    </row>
    <row r="918" spans="15:15" ht="12.75">
      <c r="O918" s="57"/>
    </row>
    <row r="919" spans="15:15" ht="12.75">
      <c r="O919" s="57"/>
    </row>
    <row r="920" spans="15:15" ht="12.75">
      <c r="O920" s="57"/>
    </row>
    <row r="921" spans="15:15" ht="12.75">
      <c r="O921" s="57"/>
    </row>
    <row r="922" spans="15:15" ht="12.75">
      <c r="O922" s="57"/>
    </row>
    <row r="923" spans="15:15" ht="12.75">
      <c r="O923" s="57"/>
    </row>
    <row r="924" spans="15:15" ht="12.75">
      <c r="O924" s="57"/>
    </row>
    <row r="925" spans="15:15" ht="12.75">
      <c r="O925" s="57"/>
    </row>
    <row r="926" spans="15:15" ht="12.75">
      <c r="O926" s="57"/>
    </row>
    <row r="927" spans="15:15" ht="12.75">
      <c r="O927" s="57"/>
    </row>
    <row r="928" spans="15:15" ht="12.75">
      <c r="O928" s="57"/>
    </row>
    <row r="929" spans="15:15" ht="12.75">
      <c r="O929" s="57"/>
    </row>
    <row r="930" spans="15:15" ht="12.75">
      <c r="O930" s="57"/>
    </row>
    <row r="931" spans="15:15" ht="12.75">
      <c r="O931" s="57"/>
    </row>
    <row r="932" spans="15:15" ht="12.75">
      <c r="O932" s="57"/>
    </row>
    <row r="933" spans="15:15" ht="12.75">
      <c r="O933" s="57"/>
    </row>
    <row r="934" spans="15:15" ht="12.75">
      <c r="O934" s="57"/>
    </row>
    <row r="935" spans="15:15" ht="12.75">
      <c r="O935" s="57"/>
    </row>
    <row r="936" spans="15:15" ht="12.75">
      <c r="O936" s="57"/>
    </row>
    <row r="937" spans="15:15" ht="12.75">
      <c r="O937" s="57"/>
    </row>
    <row r="938" spans="15:15" ht="12.75">
      <c r="O938" s="57"/>
    </row>
    <row r="939" spans="15:15" ht="12.75">
      <c r="O939" s="57"/>
    </row>
    <row r="940" spans="15:15" ht="12.75">
      <c r="O940" s="57"/>
    </row>
    <row r="941" spans="15:15" ht="12.75">
      <c r="O941" s="57"/>
    </row>
    <row r="942" spans="15:15" ht="12.75">
      <c r="O942" s="57"/>
    </row>
    <row r="943" spans="15:15" ht="12.75">
      <c r="O943" s="57"/>
    </row>
    <row r="944" spans="15:15" ht="12.75">
      <c r="O944" s="57"/>
    </row>
    <row r="945" spans="15:15" ht="12.75">
      <c r="O945" s="57"/>
    </row>
    <row r="946" spans="15:15" ht="12.75">
      <c r="O946" s="57"/>
    </row>
    <row r="947" spans="15:15" ht="12.75">
      <c r="O947" s="57"/>
    </row>
    <row r="948" spans="15:15" ht="12.75">
      <c r="O948" s="57"/>
    </row>
    <row r="949" spans="15:15" ht="12.75">
      <c r="O949" s="57"/>
    </row>
    <row r="950" spans="15:15" ht="12.75">
      <c r="O950" s="57"/>
    </row>
    <row r="951" spans="15:15" ht="12.75">
      <c r="O951" s="57"/>
    </row>
    <row r="952" spans="15:15" ht="12.75">
      <c r="O952" s="57"/>
    </row>
    <row r="953" spans="15:15" ht="12.75">
      <c r="O953" s="57"/>
    </row>
    <row r="954" spans="15:15" ht="12.75">
      <c r="O954" s="57"/>
    </row>
    <row r="955" spans="15:15" ht="12.75">
      <c r="O955" s="57"/>
    </row>
    <row r="956" spans="15:15" ht="12.75">
      <c r="O956" s="57"/>
    </row>
    <row r="957" spans="15:15" ht="12.75">
      <c r="O957" s="57"/>
    </row>
    <row r="958" spans="15:15" ht="12.75">
      <c r="O958" s="57"/>
    </row>
    <row r="959" spans="15:15" ht="12.75">
      <c r="O959" s="57"/>
    </row>
    <row r="960" spans="15:15" ht="12.75">
      <c r="O960" s="57"/>
    </row>
    <row r="961" spans="15:15" ht="12.75">
      <c r="O961" s="57"/>
    </row>
    <row r="962" spans="15:15" ht="12.75">
      <c r="O962" s="57"/>
    </row>
    <row r="963" spans="15:15" ht="12.75">
      <c r="O963" s="57"/>
    </row>
    <row r="964" spans="15:15" ht="12.75">
      <c r="O964" s="57"/>
    </row>
    <row r="965" spans="15:15" ht="12.75">
      <c r="O965" s="57"/>
    </row>
    <row r="966" spans="15:15" ht="12.75">
      <c r="O966" s="57"/>
    </row>
    <row r="967" spans="15:15" ht="12.75">
      <c r="O967" s="57"/>
    </row>
    <row r="968" spans="15:15" ht="12.75">
      <c r="O968" s="57"/>
    </row>
    <row r="969" spans="15:15" ht="12.75">
      <c r="O969" s="57"/>
    </row>
    <row r="970" spans="15:15" ht="12.75">
      <c r="O970" s="57"/>
    </row>
    <row r="971" spans="15:15" ht="12.75">
      <c r="O971" s="57"/>
    </row>
    <row r="972" spans="15:15" ht="12.75">
      <c r="O972" s="57"/>
    </row>
    <row r="973" spans="15:15" ht="12.75">
      <c r="O973" s="57"/>
    </row>
    <row r="974" spans="15:15" ht="12.75">
      <c r="O974" s="57"/>
    </row>
    <row r="975" spans="15:15" ht="12.75">
      <c r="O975" s="57"/>
    </row>
    <row r="976" spans="15:15" ht="12.75">
      <c r="O976" s="57"/>
    </row>
    <row r="977" spans="15:15" ht="12.75">
      <c r="O977" s="57"/>
    </row>
    <row r="978" spans="15:15" ht="12.75">
      <c r="O978" s="57"/>
    </row>
    <row r="979" spans="15:15" ht="12.75">
      <c r="O979" s="57"/>
    </row>
    <row r="980" spans="15:15" ht="12.75">
      <c r="O980" s="57"/>
    </row>
    <row r="981" spans="15:15" ht="12.75">
      <c r="O981" s="57"/>
    </row>
    <row r="982" spans="15:15" ht="12.75">
      <c r="O982" s="57"/>
    </row>
    <row r="983" spans="15:15" ht="12.75">
      <c r="O983" s="57"/>
    </row>
    <row r="984" spans="15:15" ht="12.75">
      <c r="O984" s="57"/>
    </row>
    <row r="985" spans="15:15" ht="12.75">
      <c r="O985" s="57"/>
    </row>
    <row r="986" spans="15:15" ht="12.75">
      <c r="O986" s="57"/>
    </row>
    <row r="987" spans="15:15" ht="12.75">
      <c r="O987" s="57"/>
    </row>
    <row r="988" spans="15:15" ht="12.75">
      <c r="O988" s="57"/>
    </row>
    <row r="989" spans="15:15" ht="12.75">
      <c r="O989" s="57"/>
    </row>
    <row r="990" spans="15:15" ht="12.75">
      <c r="O990" s="57"/>
    </row>
    <row r="991" spans="15:15" ht="12.75">
      <c r="O991" s="57"/>
    </row>
    <row r="992" spans="15:15" ht="12.75">
      <c r="O992" s="57"/>
    </row>
    <row r="993" spans="15:15" ht="12.75">
      <c r="O993" s="57"/>
    </row>
    <row r="994" spans="15:15" ht="12.75">
      <c r="O994" s="57"/>
    </row>
    <row r="995" spans="15:15" ht="12.75">
      <c r="O995" s="57"/>
    </row>
    <row r="996" spans="15:15" ht="12.75">
      <c r="O996" s="57"/>
    </row>
  </sheetData>
  <autoFilter ref="A1:W996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Logan Haviland</cp:lastModifiedBy>
  <dcterms:modified xsi:type="dcterms:W3CDTF">2026-09-17T19:46:34Z</dcterms:modified>
</cp:coreProperties>
</file>